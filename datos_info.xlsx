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t-my.sharepoint.com/personal/alberto_garre_upct_es/Documents/MariaZambrano_UPCT-UCO/03_coding/jorjulator/"/>
    </mc:Choice>
  </mc:AlternateContent>
  <xr:revisionPtr revIDLastSave="305" documentId="8_{7E04E395-2089-489E-990B-E6207284292A}" xr6:coauthVersionLast="47" xr6:coauthVersionMax="47" xr10:uidLastSave="{F9F1A37D-59B5-445C-8ACC-4594EF6399EF}"/>
  <bookViews>
    <workbookView minimized="1" xWindow="8835" yWindow="1410" windowWidth="9600" windowHeight="7170" activeTab="1" xr2:uid="{F290A9E1-8391-4998-A342-30E425EA734A}"/>
  </bookViews>
  <sheets>
    <sheet name="Intervalos" sheetId="1" r:id="rId1"/>
    <sheet name="Calclulo B (ejemplo LH1)" sheetId="2" r:id="rId2"/>
    <sheet name="Claculo SE Total Economic Value" sheetId="3" r:id="rId3"/>
    <sheet name="Índice calidad estética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1" l="1"/>
  <c r="N5" i="1" s="1"/>
  <c r="M5" i="1"/>
  <c r="P7" i="1"/>
  <c r="M9" i="1"/>
  <c r="N9" i="1"/>
  <c r="P10" i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N30" i="1"/>
  <c r="AL4" i="4"/>
  <c r="AM4" i="4" s="1"/>
  <c r="AL5" i="4"/>
  <c r="AM5" i="4" s="1"/>
  <c r="AL6" i="4"/>
  <c r="AL7" i="4"/>
  <c r="AM7" i="4" s="1"/>
  <c r="AL8" i="4"/>
  <c r="AL9" i="4"/>
  <c r="AM9" i="4" s="1"/>
  <c r="AL10" i="4"/>
  <c r="AL11" i="4"/>
  <c r="AM11" i="4" s="1"/>
  <c r="AL12" i="4"/>
  <c r="AL13" i="4"/>
  <c r="AM13" i="4"/>
  <c r="AL14" i="4"/>
  <c r="AL15" i="4"/>
  <c r="AM15" i="4" s="1"/>
  <c r="AL16" i="4"/>
  <c r="AL17" i="4"/>
  <c r="AM17" i="4" s="1"/>
  <c r="AL18" i="4"/>
  <c r="AL21" i="4"/>
  <c r="AM21" i="4" s="1"/>
  <c r="AL22" i="4"/>
  <c r="AL27" i="4"/>
  <c r="AL32" i="4"/>
  <c r="AL34" i="4"/>
  <c r="AL40" i="4"/>
  <c r="AL41" i="4"/>
  <c r="AL42" i="4"/>
  <c r="AL43" i="4"/>
  <c r="AC8" i="4"/>
  <c r="AA7" i="4"/>
  <c r="AA6" i="4"/>
  <c r="I18" i="2"/>
  <c r="I33" i="3"/>
  <c r="J30" i="3"/>
  <c r="I30" i="3"/>
  <c r="I29" i="3"/>
  <c r="M7" i="1" l="1"/>
  <c r="N7" i="1"/>
  <c r="M10" i="1"/>
  <c r="N10" i="1"/>
  <c r="M18" i="1"/>
  <c r="N18" i="1"/>
  <c r="M20" i="1"/>
  <c r="N20" i="1"/>
  <c r="M25" i="1"/>
  <c r="N25" i="1"/>
  <c r="M26" i="1"/>
  <c r="N26" i="1"/>
  <c r="M29" i="1"/>
  <c r="AM22" i="4"/>
  <c r="AM18" i="4"/>
  <c r="AM16" i="4"/>
  <c r="AM14" i="4"/>
  <c r="AM12" i="4"/>
  <c r="AM10" i="4"/>
  <c r="AM8" i="4"/>
  <c r="AM6" i="4"/>
  <c r="J7" i="1"/>
  <c r="J5" i="1"/>
  <c r="F34" i="3"/>
  <c r="G34" i="3" s="1"/>
  <c r="G33" i="3"/>
  <c r="G36" i="3" s="1"/>
  <c r="F33" i="3"/>
  <c r="F35" i="3" s="1"/>
  <c r="E33" i="3"/>
  <c r="E35" i="3" s="1"/>
  <c r="D33" i="3"/>
  <c r="D35" i="3" s="1"/>
  <c r="J32" i="3"/>
  <c r="I32" i="3"/>
  <c r="J31" i="3"/>
  <c r="I31" i="3"/>
  <c r="J29" i="3"/>
  <c r="J33" i="3"/>
  <c r="H33" i="3" s="1"/>
  <c r="V30" i="2"/>
  <c r="V29" i="2"/>
  <c r="I24" i="2" s="1"/>
  <c r="V28" i="2"/>
  <c r="L26" i="2"/>
  <c r="K26" i="2"/>
  <c r="M26" i="2" s="1"/>
  <c r="I26" i="2"/>
  <c r="M25" i="2"/>
  <c r="L25" i="2"/>
  <c r="K25" i="2"/>
  <c r="I25" i="2"/>
  <c r="L24" i="2"/>
  <c r="K24" i="2"/>
  <c r="L23" i="2"/>
  <c r="K23" i="2"/>
  <c r="M23" i="2" s="1"/>
  <c r="I23" i="2"/>
  <c r="M22" i="2"/>
  <c r="L22" i="2"/>
  <c r="K22" i="2"/>
  <c r="I22" i="2"/>
  <c r="L21" i="2"/>
  <c r="K21" i="2"/>
  <c r="M21" i="2" s="1"/>
  <c r="I21" i="2"/>
  <c r="J20" i="2"/>
  <c r="L20" i="2" s="1"/>
  <c r="I20" i="2"/>
  <c r="H20" i="2"/>
  <c r="L18" i="2"/>
  <c r="K18" i="2"/>
  <c r="M18" i="2" s="1"/>
  <c r="M14" i="2"/>
  <c r="L14" i="2"/>
  <c r="K14" i="2"/>
  <c r="I14" i="2"/>
  <c r="L13" i="2"/>
  <c r="K13" i="2"/>
  <c r="M13" i="2" s="1"/>
  <c r="I13" i="2"/>
  <c r="L12" i="2"/>
  <c r="K12" i="2"/>
  <c r="M12" i="2" s="1"/>
  <c r="I12" i="2"/>
  <c r="M10" i="2"/>
  <c r="L10" i="2"/>
  <c r="L8" i="2"/>
  <c r="K8" i="2"/>
  <c r="M8" i="2" s="1"/>
  <c r="I8" i="2"/>
  <c r="M7" i="2"/>
  <c r="L7" i="2"/>
  <c r="K7" i="2"/>
  <c r="I7" i="2"/>
  <c r="L5" i="2"/>
  <c r="K5" i="2"/>
  <c r="M5" i="2" s="1"/>
  <c r="I5" i="2"/>
  <c r="B5" i="2"/>
  <c r="N31" i="1" l="1"/>
  <c r="N29" i="1"/>
  <c r="H34" i="3"/>
  <c r="H36" i="3" s="1"/>
  <c r="M24" i="2"/>
  <c r="K20" i="2"/>
  <c r="M20" i="2" s="1"/>
  <c r="M28" i="1" l="1"/>
  <c r="I5" i="1"/>
  <c r="CF30" i="1"/>
  <c r="CE30" i="1"/>
  <c r="CA30" i="1"/>
  <c r="BZ30" i="1"/>
  <c r="BV30" i="1"/>
  <c r="BU30" i="1"/>
  <c r="BQ30" i="1"/>
  <c r="BP30" i="1"/>
  <c r="BL30" i="1"/>
  <c r="BK30" i="1"/>
  <c r="BG30" i="1"/>
  <c r="BF30" i="1"/>
  <c r="BB30" i="1"/>
  <c r="BA30" i="1"/>
  <c r="AW30" i="1"/>
  <c r="AV30" i="1"/>
  <c r="AR30" i="1"/>
  <c r="AQ30" i="1"/>
  <c r="AM30" i="1"/>
  <c r="AL30" i="1"/>
  <c r="AH30" i="1"/>
  <c r="AG30" i="1"/>
  <c r="AC30" i="1"/>
  <c r="AB30" i="1"/>
  <c r="X30" i="1"/>
  <c r="W30" i="1"/>
  <c r="S30" i="1"/>
  <c r="R30" i="1"/>
  <c r="M30" i="1"/>
  <c r="U26" i="1"/>
  <c r="I26" i="1"/>
  <c r="K26" i="1" s="1"/>
  <c r="U25" i="1"/>
  <c r="I25" i="1"/>
  <c r="K25" i="1" s="1"/>
  <c r="U24" i="1"/>
  <c r="U23" i="1"/>
  <c r="U22" i="1"/>
  <c r="U21" i="1"/>
  <c r="U20" i="1"/>
  <c r="I20" i="1"/>
  <c r="K20" i="1" s="1"/>
  <c r="CF19" i="1"/>
  <c r="CE19" i="1"/>
  <c r="CA19" i="1"/>
  <c r="BZ19" i="1"/>
  <c r="BV19" i="1"/>
  <c r="BU19" i="1"/>
  <c r="BQ19" i="1"/>
  <c r="BP19" i="1"/>
  <c r="BL19" i="1"/>
  <c r="BK19" i="1"/>
  <c r="BG19" i="1"/>
  <c r="BF19" i="1"/>
  <c r="BB19" i="1"/>
  <c r="BA19" i="1"/>
  <c r="AW19" i="1"/>
  <c r="AV19" i="1"/>
  <c r="AR19" i="1"/>
  <c r="AQ19" i="1"/>
  <c r="AM19" i="1"/>
  <c r="AL19" i="1"/>
  <c r="AH19" i="1"/>
  <c r="AG19" i="1"/>
  <c r="AC19" i="1"/>
  <c r="AB19" i="1"/>
  <c r="X19" i="1"/>
  <c r="W19" i="1"/>
  <c r="U18" i="1"/>
  <c r="I18" i="1"/>
  <c r="K18" i="1" s="1"/>
  <c r="U17" i="1"/>
  <c r="U16" i="1"/>
  <c r="U15" i="1"/>
  <c r="U14" i="1"/>
  <c r="U13" i="1"/>
  <c r="U12" i="1"/>
  <c r="U11" i="1"/>
  <c r="U10" i="1"/>
  <c r="I10" i="1"/>
  <c r="J10" i="1" s="1"/>
  <c r="CH7" i="1"/>
  <c r="CC7" i="1"/>
  <c r="BX7" i="1"/>
  <c r="BS7" i="1"/>
  <c r="BN7" i="1"/>
  <c r="BI7" i="1"/>
  <c r="BD7" i="1"/>
  <c r="AY7" i="1"/>
  <c r="AT7" i="1"/>
  <c r="AO7" i="1"/>
  <c r="AJ7" i="1"/>
  <c r="AE7" i="1"/>
  <c r="Z7" i="1"/>
  <c r="I7" i="1"/>
  <c r="K7" i="1" s="1"/>
  <c r="U5" i="1"/>
  <c r="K10" i="1" l="1"/>
  <c r="CA10" i="1" s="1"/>
  <c r="J18" i="1"/>
  <c r="BV18" i="1" s="1"/>
  <c r="BA10" i="1"/>
  <c r="BP10" i="1"/>
  <c r="AW18" i="1"/>
  <c r="J20" i="1"/>
  <c r="J26" i="1"/>
  <c r="X10" i="1"/>
  <c r="AM10" i="1"/>
  <c r="CF10" i="1"/>
  <c r="W18" i="1"/>
  <c r="AL18" i="1"/>
  <c r="BA18" i="1"/>
  <c r="J25" i="1"/>
  <c r="AB10" i="1"/>
  <c r="AQ10" i="1"/>
  <c r="BF10" i="1"/>
  <c r="BB18" i="1"/>
  <c r="BQ18" i="1"/>
  <c r="CF18" i="1"/>
  <c r="AH10" i="1"/>
  <c r="S18" i="1"/>
  <c r="AG18" i="1"/>
  <c r="AV18" i="1"/>
  <c r="BK18" i="1"/>
  <c r="R10" i="1"/>
  <c r="AC10" i="1"/>
  <c r="AR10" i="1"/>
  <c r="BG10" i="1"/>
  <c r="AB18" i="1"/>
  <c r="AQ18" i="1"/>
  <c r="BF18" i="1"/>
  <c r="BU18" i="1"/>
  <c r="S10" i="1"/>
  <c r="AV10" i="1"/>
  <c r="BK10" i="1"/>
  <c r="R18" i="1"/>
  <c r="AC18" i="1"/>
  <c r="AR18" i="1"/>
  <c r="N28" i="1" l="1"/>
  <c r="CE10" i="1"/>
  <c r="BL10" i="1"/>
  <c r="X18" i="1"/>
  <c r="CE18" i="1"/>
  <c r="BQ10" i="1"/>
  <c r="CA18" i="1"/>
  <c r="AL10" i="1"/>
  <c r="BG18" i="1"/>
  <c r="AG10" i="1"/>
  <c r="BV10" i="1"/>
  <c r="BZ18" i="1"/>
  <c r="AW10" i="1"/>
  <c r="BU10" i="1"/>
  <c r="BP18" i="1"/>
  <c r="BB10" i="1"/>
  <c r="BL18" i="1"/>
  <c r="W10" i="1"/>
  <c r="AM18" i="1"/>
  <c r="AH18" i="1"/>
  <c r="BZ10" i="1"/>
  <c r="AQ5" i="1"/>
  <c r="AQ28" i="1" s="1"/>
  <c r="BV26" i="1"/>
  <c r="BG26" i="1"/>
  <c r="AR26" i="1"/>
  <c r="AC26" i="1"/>
  <c r="R26" i="1"/>
  <c r="BU26" i="1"/>
  <c r="BF26" i="1"/>
  <c r="AQ26" i="1"/>
  <c r="AB26" i="1"/>
  <c r="CF26" i="1"/>
  <c r="BQ26" i="1"/>
  <c r="BB26" i="1"/>
  <c r="AM26" i="1"/>
  <c r="X26" i="1"/>
  <c r="CE26" i="1"/>
  <c r="BP26" i="1"/>
  <c r="BA26" i="1"/>
  <c r="AL26" i="1"/>
  <c r="W26" i="1"/>
  <c r="CA26" i="1"/>
  <c r="BL26" i="1"/>
  <c r="AW26" i="1"/>
  <c r="AH26" i="1"/>
  <c r="BZ26" i="1"/>
  <c r="BK26" i="1"/>
  <c r="AV26" i="1"/>
  <c r="AG26" i="1"/>
  <c r="S26" i="1"/>
  <c r="CE5" i="1"/>
  <c r="CE28" i="1" s="1"/>
  <c r="BG5" i="1"/>
  <c r="BG28" i="1" s="1"/>
  <c r="BU20" i="1"/>
  <c r="BF20" i="1"/>
  <c r="AQ20" i="1"/>
  <c r="AB20" i="1"/>
  <c r="CF20" i="1"/>
  <c r="BQ20" i="1"/>
  <c r="BB20" i="1"/>
  <c r="AM20" i="1"/>
  <c r="X20" i="1"/>
  <c r="CE20" i="1"/>
  <c r="BP20" i="1"/>
  <c r="BA20" i="1"/>
  <c r="AL20" i="1"/>
  <c r="W20" i="1"/>
  <c r="CA20" i="1"/>
  <c r="BL20" i="1"/>
  <c r="AW20" i="1"/>
  <c r="AH20" i="1"/>
  <c r="BZ20" i="1"/>
  <c r="BK20" i="1"/>
  <c r="AV20" i="1"/>
  <c r="AG20" i="1"/>
  <c r="S20" i="1"/>
  <c r="BV20" i="1"/>
  <c r="BG20" i="1"/>
  <c r="AR20" i="1"/>
  <c r="AC20" i="1"/>
  <c r="R20" i="1"/>
  <c r="AH5" i="1"/>
  <c r="AH28" i="1" s="1"/>
  <c r="BF5" i="1"/>
  <c r="BF28" i="1" s="1"/>
  <c r="BV5" i="1"/>
  <c r="BV28" i="1" s="1"/>
  <c r="W5" i="1"/>
  <c r="W28" i="1" s="1"/>
  <c r="X5" i="1"/>
  <c r="X28" i="1" s="1"/>
  <c r="AW5" i="1"/>
  <c r="AW28" i="1" s="1"/>
  <c r="BU5" i="1"/>
  <c r="BU28" i="1" s="1"/>
  <c r="S5" i="1"/>
  <c r="S28" i="1" s="1"/>
  <c r="CF5" i="1"/>
  <c r="CF28" i="1" s="1"/>
  <c r="BZ5" i="1"/>
  <c r="BZ28" i="1" s="1"/>
  <c r="AL5" i="1"/>
  <c r="AL28" i="1" s="1"/>
  <c r="AM5" i="1"/>
  <c r="AM28" i="1" s="1"/>
  <c r="BL5" i="1"/>
  <c r="BL28" i="1" s="1"/>
  <c r="R5" i="1"/>
  <c r="R28" i="1" s="1"/>
  <c r="AG5" i="1"/>
  <c r="AG28" i="1" s="1"/>
  <c r="BA5" i="1"/>
  <c r="BA28" i="1" s="1"/>
  <c r="BB5" i="1"/>
  <c r="BB28" i="1" s="1"/>
  <c r="CA5" i="1"/>
  <c r="CA28" i="1" s="1"/>
  <c r="AC5" i="1"/>
  <c r="AC28" i="1" s="1"/>
  <c r="AV5" i="1"/>
  <c r="AV28" i="1" s="1"/>
  <c r="CE7" i="1"/>
  <c r="BU7" i="1"/>
  <c r="BU29" i="1" s="1"/>
  <c r="BK7" i="1"/>
  <c r="BK29" i="1" s="1"/>
  <c r="BA7" i="1"/>
  <c r="BA29" i="1" s="1"/>
  <c r="AQ7" i="1"/>
  <c r="AG7" i="1"/>
  <c r="AG29" i="1" s="1"/>
  <c r="W7" i="1"/>
  <c r="W29" i="1" s="1"/>
  <c r="S7" i="1"/>
  <c r="CF7" i="1"/>
  <c r="CF29" i="1" s="1"/>
  <c r="BV7" i="1"/>
  <c r="BL7" i="1"/>
  <c r="BB7" i="1"/>
  <c r="BB29" i="1" s="1"/>
  <c r="AR7" i="1"/>
  <c r="AR29" i="1" s="1"/>
  <c r="AH7" i="1"/>
  <c r="AH29" i="1" s="1"/>
  <c r="X7" i="1"/>
  <c r="X29" i="1" s="1"/>
  <c r="CA7" i="1"/>
  <c r="BQ7" i="1"/>
  <c r="BQ29" i="1" s="1"/>
  <c r="BG7" i="1"/>
  <c r="BG29" i="1" s="1"/>
  <c r="AW7" i="1"/>
  <c r="AM7" i="1"/>
  <c r="AM29" i="1" s="1"/>
  <c r="AC7" i="1"/>
  <c r="R7" i="1"/>
  <c r="BZ7" i="1"/>
  <c r="BP7" i="1"/>
  <c r="BP29" i="1" s="1"/>
  <c r="BF7" i="1"/>
  <c r="AV7" i="1"/>
  <c r="AV29" i="1" s="1"/>
  <c r="AL7" i="1"/>
  <c r="AL29" i="1" s="1"/>
  <c r="AB7" i="1"/>
  <c r="CF25" i="1"/>
  <c r="CF31" i="1" s="1"/>
  <c r="BQ25" i="1"/>
  <c r="BB25" i="1"/>
  <c r="AM25" i="1"/>
  <c r="AM31" i="1" s="1"/>
  <c r="X25" i="1"/>
  <c r="X31" i="1" s="1"/>
  <c r="CE25" i="1"/>
  <c r="BP25" i="1"/>
  <c r="BP31" i="1" s="1"/>
  <c r="BA25" i="1"/>
  <c r="AL25" i="1"/>
  <c r="W25" i="1"/>
  <c r="W31" i="1" s="1"/>
  <c r="M31" i="1"/>
  <c r="CA25" i="1"/>
  <c r="BL25" i="1"/>
  <c r="BL31" i="1" s="1"/>
  <c r="AW25" i="1"/>
  <c r="AW31" i="1" s="1"/>
  <c r="AH25" i="1"/>
  <c r="BZ25" i="1"/>
  <c r="BZ31" i="1" s="1"/>
  <c r="BK25" i="1"/>
  <c r="BK31" i="1" s="1"/>
  <c r="AV25" i="1"/>
  <c r="AG25" i="1"/>
  <c r="AG31" i="1" s="1"/>
  <c r="S25" i="1"/>
  <c r="BV25" i="1"/>
  <c r="BV31" i="1" s="1"/>
  <c r="BG25" i="1"/>
  <c r="BG31" i="1" s="1"/>
  <c r="AR25" i="1"/>
  <c r="AC25" i="1"/>
  <c r="R25" i="1"/>
  <c r="BU25" i="1"/>
  <c r="BU31" i="1" s="1"/>
  <c r="BF25" i="1"/>
  <c r="BF31" i="1" s="1"/>
  <c r="AQ25" i="1"/>
  <c r="AQ31" i="1" s="1"/>
  <c r="AB25" i="1"/>
  <c r="BP5" i="1"/>
  <c r="BP28" i="1" s="1"/>
  <c r="BQ5" i="1"/>
  <c r="BQ28" i="1" s="1"/>
  <c r="AB5" i="1"/>
  <c r="AB28" i="1" s="1"/>
  <c r="AR5" i="1"/>
  <c r="AR28" i="1" s="1"/>
  <c r="BK5" i="1"/>
  <c r="BK28" i="1" s="1"/>
  <c r="S31" i="1" l="1"/>
  <c r="M32" i="1"/>
  <c r="N32" i="1"/>
  <c r="R31" i="1"/>
  <c r="AB31" i="1"/>
  <c r="AR31" i="1"/>
  <c r="BV29" i="1"/>
  <c r="BA31" i="1"/>
  <c r="BQ31" i="1"/>
  <c r="CE29" i="1"/>
  <c r="BZ29" i="1"/>
  <c r="AB29" i="1"/>
  <c r="CA29" i="1"/>
  <c r="AC29" i="1"/>
  <c r="AH31" i="1"/>
  <c r="AL31" i="1"/>
  <c r="BB31" i="1"/>
  <c r="BF29" i="1"/>
  <c r="AW29" i="1"/>
  <c r="S29" i="1"/>
  <c r="AC31" i="1"/>
  <c r="AV31" i="1"/>
  <c r="CA31" i="1"/>
  <c r="CE31" i="1"/>
  <c r="R29" i="1"/>
  <c r="BL29" i="1"/>
  <c r="AQ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tc={B7D02980-3D8F-47C0-89AA-C656C6D1DD8A}</author>
  </authors>
  <commentList>
    <comment ref="G25" authorId="0" shapeId="0" xr:uid="{B7D02980-3D8F-47C0-89AA-C656C6D1DD8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 paso la fórmula del índice </t>
      </text>
    </comment>
  </commentList>
</comments>
</file>

<file path=xl/sharedStrings.xml><?xml version="1.0" encoding="utf-8"?>
<sst xmlns="http://schemas.openxmlformats.org/spreadsheetml/2006/main" count="620" uniqueCount="232">
  <si>
    <t>LH1</t>
  </si>
  <si>
    <t>LH2</t>
  </si>
  <si>
    <t>LH3</t>
  </si>
  <si>
    <t>LH4.1</t>
  </si>
  <si>
    <t>LH4.2</t>
  </si>
  <si>
    <t>LH4.3</t>
  </si>
  <si>
    <t>LH4.4</t>
  </si>
  <si>
    <t>LH5.1</t>
  </si>
  <si>
    <t>LH5.2</t>
  </si>
  <si>
    <t>LH5.3</t>
  </si>
  <si>
    <t>LH6.2</t>
  </si>
  <si>
    <t>LH7.1</t>
  </si>
  <si>
    <t>LL.1.8</t>
  </si>
  <si>
    <t>LL.1.11</t>
  </si>
  <si>
    <t>LL.2.2</t>
  </si>
  <si>
    <t>Indicador (incremento)</t>
  </si>
  <si>
    <t>min</t>
  </si>
  <si>
    <t>Max</t>
  </si>
  <si>
    <t>Valor T</t>
  </si>
  <si>
    <t>Intervalo (€/ha)</t>
  </si>
  <si>
    <t>obser</t>
  </si>
  <si>
    <t>Std. Dev</t>
  </si>
  <si>
    <t>Croop yield (Kg/ha)</t>
  </si>
  <si>
    <t>Plant biomass (Kg/ha)</t>
  </si>
  <si>
    <r>
      <t>Water content (m</t>
    </r>
    <r>
      <rPr>
        <i/>
        <strike/>
        <vertAlign val="superscript"/>
        <sz val="9"/>
        <color theme="1"/>
        <rFont val="Raleway"/>
      </rPr>
      <t>3</t>
    </r>
    <r>
      <rPr>
        <i/>
        <strike/>
        <sz val="9"/>
        <color theme="1"/>
        <rFont val="Raleway"/>
      </rPr>
      <t>/ha)</t>
    </r>
  </si>
  <si>
    <t>CO2 Sequestration (Tn/ha)</t>
  </si>
  <si>
    <r>
      <t>Soil CO2 emissions (</t>
    </r>
    <r>
      <rPr>
        <i/>
        <sz val="9"/>
        <color theme="1"/>
        <rFont val="Raleway"/>
      </rPr>
      <t>Tn/ha)</t>
    </r>
  </si>
  <si>
    <t>Total Ecosystem organic content (Tn/ha))</t>
  </si>
  <si>
    <t>Pollution of surface or groundwater by nitrates (Mg/L/Ha)</t>
  </si>
  <si>
    <t>Available macronutrients (Kg/ha)</t>
  </si>
  <si>
    <t>N (Nitrogen)</t>
  </si>
  <si>
    <t>bt</t>
  </si>
  <si>
    <t>P (Phosphorus)</t>
  </si>
  <si>
    <t>K (Potassium)</t>
  </si>
  <si>
    <t>Ca (Calcium)</t>
  </si>
  <si>
    <t>Mg (Magnesium)</t>
  </si>
  <si>
    <t>S (Sulfur)</t>
  </si>
  <si>
    <r>
      <t>Soil water retention capacity (m</t>
    </r>
    <r>
      <rPr>
        <i/>
        <vertAlign val="superscript"/>
        <sz val="9"/>
        <color theme="1"/>
        <rFont val="Raleway"/>
      </rPr>
      <t>3</t>
    </r>
    <r>
      <rPr>
        <i/>
        <sz val="9"/>
        <color theme="1"/>
        <rFont val="Raleway"/>
      </rPr>
      <t>/ha)</t>
    </r>
  </si>
  <si>
    <t>Soil erosion rate (Tn/ha)</t>
  </si>
  <si>
    <t>Bare soil (%)</t>
  </si>
  <si>
    <t>Presence of natural green elements (%)</t>
  </si>
  <si>
    <t>Presence of cultural elements (Yes/No)</t>
  </si>
  <si>
    <t>Recreation Index (1-10)</t>
  </si>
  <si>
    <t>Visitors and accommodations (nº/ha)</t>
  </si>
  <si>
    <t>Aesthetics landscape index (1-10)</t>
  </si>
  <si>
    <t>Employment generation (AWU/ha)</t>
  </si>
  <si>
    <t>Sagri</t>
  </si>
  <si>
    <t>Provisioning</t>
  </si>
  <si>
    <t>Sforest</t>
  </si>
  <si>
    <t>IC = media +- t(0,05;n-1) x (S/(n^(1/2))</t>
  </si>
  <si>
    <t>Regulating</t>
  </si>
  <si>
    <t>Temperature (ºC)</t>
  </si>
  <si>
    <t>Supporting</t>
  </si>
  <si>
    <t>Precipitations (average mm/year)</t>
  </si>
  <si>
    <t>Cultrual</t>
  </si>
  <si>
    <t>TOTAL</t>
  </si>
  <si>
    <t>Intervalo € X unidades (valor)</t>
  </si>
  <si>
    <t xml:space="preserve">Incremento de valor (€ x ud) para los que no hay intervalo </t>
  </si>
  <si>
    <t>Baseline LH 1.2</t>
  </si>
  <si>
    <t>Action LH 1.1</t>
  </si>
  <si>
    <t>Δ valor/ha</t>
  </si>
  <si>
    <t>Δ €/ha</t>
  </si>
  <si>
    <t>Croop yield</t>
  </si>
  <si>
    <t>LH 1.2</t>
  </si>
  <si>
    <t>€/ha estim.</t>
  </si>
  <si>
    <t>LH 1.1</t>
  </si>
  <si>
    <t>Soil CO2 emissions (Tn/ha)</t>
  </si>
  <si>
    <t>Variables</t>
  </si>
  <si>
    <t>Coef</t>
  </si>
  <si>
    <t>T-value</t>
  </si>
  <si>
    <t>Tn/ha</t>
  </si>
  <si>
    <t>Indicator</t>
  </si>
  <si>
    <t>**</t>
  </si>
  <si>
    <t>na</t>
  </si>
  <si>
    <t>Indicator2</t>
  </si>
  <si>
    <t>Total ecosystem organic content TCE (Tn/ha)</t>
  </si>
  <si>
    <t>indicatorXSagri</t>
  </si>
  <si>
    <t>indicatorXsforest</t>
  </si>
  <si>
    <t>Temp</t>
  </si>
  <si>
    <t>*</t>
  </si>
  <si>
    <t>precipitación</t>
  </si>
  <si>
    <t>constant</t>
  </si>
  <si>
    <t>***</t>
  </si>
  <si>
    <t>Presence of natrual green elements (%)</t>
  </si>
  <si>
    <t>€/ha</t>
  </si>
  <si>
    <t>Presence of cultural elements (Yes / No)</t>
  </si>
  <si>
    <t>Yes</t>
  </si>
  <si>
    <t>Kg/ha</t>
  </si>
  <si>
    <t>N (Nitrógeno)</t>
  </si>
  <si>
    <t>Recreation index (value of 4)</t>
  </si>
  <si>
    <t>If index = 4</t>
  </si>
  <si>
    <t>Visitors and acommodation</t>
  </si>
  <si>
    <t>Valor</t>
  </si>
  <si>
    <t>€/visitante</t>
  </si>
  <si>
    <t>1 visitor (forest)</t>
  </si>
  <si>
    <r>
      <rPr>
        <sz val="11"/>
        <color rgb="FFFF0000"/>
        <rFont val="Aptos Narrow"/>
        <family val="2"/>
        <scheme val="minor"/>
      </rPr>
      <t>ln</t>
    </r>
    <r>
      <rPr>
        <sz val="11"/>
        <color theme="1"/>
        <rFont val="Aptos Narrow"/>
        <family val="2"/>
        <scheme val="minor"/>
      </rPr>
      <t>(Indicator)</t>
    </r>
  </si>
  <si>
    <r>
      <t>(</t>
    </r>
    <r>
      <rPr>
        <sz val="11"/>
        <color rgb="FFFF0000"/>
        <rFont val="Aptos Narrow"/>
        <family val="2"/>
        <scheme val="minor"/>
      </rPr>
      <t>Ln</t>
    </r>
    <r>
      <rPr>
        <sz val="11"/>
        <color theme="1"/>
        <rFont val="Aptos Narrow"/>
        <family val="2"/>
        <scheme val="minor"/>
      </rPr>
      <t>(Indicator))2</t>
    </r>
  </si>
  <si>
    <t>1 visitor (urban)</t>
  </si>
  <si>
    <t>Economic Value (€/ha)</t>
  </si>
  <si>
    <t>Baseline (LH12)</t>
  </si>
  <si>
    <t>Action (LH11)</t>
  </si>
  <si>
    <t>Market</t>
  </si>
  <si>
    <t>Revenue</t>
  </si>
  <si>
    <t>Cost</t>
  </si>
  <si>
    <t xml:space="preserve">  Investment</t>
  </si>
  <si>
    <t xml:space="preserve">  O&amp;M</t>
  </si>
  <si>
    <t>Margin</t>
  </si>
  <si>
    <t>Non-market</t>
  </si>
  <si>
    <t>Ecosystem services</t>
  </si>
  <si>
    <t>Cultural</t>
  </si>
  <si>
    <t>Total benefit</t>
  </si>
  <si>
    <t>Uncertainty</t>
  </si>
  <si>
    <t>Lower Bound</t>
  </si>
  <si>
    <t>Upper Bound</t>
  </si>
  <si>
    <t>Punto medio</t>
  </si>
  <si>
    <t>Radio de error</t>
  </si>
  <si>
    <t>Total Ecosystem services</t>
  </si>
  <si>
    <t xml:space="preserve">Practices environmental impact cost </t>
  </si>
  <si>
    <t>Rango</t>
  </si>
  <si>
    <t>LL/LH_code</t>
  </si>
  <si>
    <t>LL/LH_description</t>
  </si>
  <si>
    <t>ES (Cat)</t>
  </si>
  <si>
    <t>Recreation index</t>
  </si>
  <si>
    <t>Ha</t>
  </si>
  <si>
    <t>ES</t>
  </si>
  <si>
    <t>Food</t>
  </si>
  <si>
    <t>Fiber, energy or raw material</t>
  </si>
  <si>
    <t>Water</t>
  </si>
  <si>
    <t>Climate regulation</t>
  </si>
  <si>
    <t>Wate/air purification and soil contamination reduction</t>
  </si>
  <si>
    <t>Nutrient cycling</t>
  </si>
  <si>
    <t>Flood regulation and water storage</t>
  </si>
  <si>
    <t>Erosion control</t>
  </si>
  <si>
    <t>Habitat for organism</t>
  </si>
  <si>
    <t>Heritage</t>
  </si>
  <si>
    <t>Recreation</t>
  </si>
  <si>
    <t>Aesthetics</t>
  </si>
  <si>
    <t>Information for cognitive development</t>
  </si>
  <si>
    <t>Presence of water bodies (1/0)</t>
  </si>
  <si>
    <t>Presence of natural vegetation (1/0)</t>
  </si>
  <si>
    <t>Presence of protected spaces (1/0)</t>
  </si>
  <si>
    <t>Presence of geological heritage (1/0)</t>
  </si>
  <si>
    <t>Presence of infrastructure for recreation (eg. bird observatories, interpretation centres..) (1/0)</t>
  </si>
  <si>
    <t>Presence of motor vehicle accessibility infrastructure (1/0)</t>
  </si>
  <si>
    <t>Presence of accessibility infrastructures with limited use of motor vehicle (1/0)</t>
  </si>
  <si>
    <t>índice</t>
  </si>
  <si>
    <t>Índice 0-1</t>
  </si>
  <si>
    <r>
      <t>Crop yield (</t>
    </r>
    <r>
      <rPr>
        <b/>
        <sz val="10"/>
        <color rgb="FFFF0000"/>
        <rFont val="Aptos Narrow"/>
        <family val="2"/>
        <scheme val="minor"/>
      </rPr>
      <t>Kg/ha</t>
    </r>
    <r>
      <rPr>
        <sz val="10"/>
        <color theme="1"/>
        <rFont val="Aptos Narrow"/>
        <family val="2"/>
        <scheme val="minor"/>
      </rPr>
      <t>)</t>
    </r>
  </si>
  <si>
    <r>
      <t>Plant biomass (</t>
    </r>
    <r>
      <rPr>
        <b/>
        <sz val="10"/>
        <color rgb="FFFF0000"/>
        <rFont val="Aptos Narrow"/>
        <family val="2"/>
        <scheme val="minor"/>
      </rPr>
      <t>Kg/ha</t>
    </r>
    <r>
      <rPr>
        <sz val="10"/>
        <color theme="1"/>
        <rFont val="Aptos Narrow"/>
        <family val="2"/>
        <scheme val="minor"/>
      </rPr>
      <t>)</t>
    </r>
  </si>
  <si>
    <r>
      <t xml:space="preserve">Water content </t>
    </r>
    <r>
      <rPr>
        <b/>
        <sz val="10"/>
        <color rgb="FFFF0000"/>
        <rFont val="Aptos Narrow"/>
        <family val="2"/>
        <scheme val="minor"/>
      </rPr>
      <t>(m3/ha)</t>
    </r>
  </si>
  <si>
    <r>
      <t xml:space="preserve">CO2 sequestration </t>
    </r>
    <r>
      <rPr>
        <b/>
        <sz val="10"/>
        <color rgb="FFFF0000"/>
        <rFont val="Aptos Narrow"/>
        <family val="2"/>
        <scheme val="minor"/>
      </rPr>
      <t>(TN/ha)</t>
    </r>
  </si>
  <si>
    <r>
      <t xml:space="preserve">Soil CO2 emissons </t>
    </r>
    <r>
      <rPr>
        <b/>
        <sz val="10"/>
        <color rgb="FFFF0000"/>
        <rFont val="Aptos Narrow"/>
        <family val="2"/>
        <scheme val="minor"/>
      </rPr>
      <t>(Tn /ha</t>
    </r>
    <r>
      <rPr>
        <sz val="10"/>
        <color theme="1"/>
        <rFont val="Aptos Narrow"/>
        <family val="2"/>
        <scheme val="minor"/>
      </rPr>
      <t>)</t>
    </r>
  </si>
  <si>
    <r>
      <t xml:space="preserve">Total ecosystem organic content TCE </t>
    </r>
    <r>
      <rPr>
        <b/>
        <sz val="10"/>
        <color rgb="FFFF0000"/>
        <rFont val="Aptos Narrow"/>
        <family val="2"/>
        <scheme val="minor"/>
      </rPr>
      <t>(Tn/ha)</t>
    </r>
  </si>
  <si>
    <r>
      <t>Pollution of surface or groundwater by nitrates (</t>
    </r>
    <r>
      <rPr>
        <b/>
        <sz val="10"/>
        <color rgb="FFFF0000"/>
        <rFont val="Aptos Narrow"/>
        <family val="2"/>
        <scheme val="minor"/>
      </rPr>
      <t>mg/L/Ha</t>
    </r>
    <r>
      <rPr>
        <sz val="10"/>
        <color theme="1"/>
        <rFont val="Aptos Narrow"/>
        <family val="2"/>
        <scheme val="minor"/>
      </rPr>
      <t>)</t>
    </r>
  </si>
  <si>
    <r>
      <t>Available macronutrients (P)</t>
    </r>
    <r>
      <rPr>
        <b/>
        <sz val="10"/>
        <color rgb="FFFF0000"/>
        <rFont val="Aptos Narrow"/>
        <family val="2"/>
        <scheme val="minor"/>
      </rPr>
      <t xml:space="preserve"> (Kg/Ha)</t>
    </r>
  </si>
  <si>
    <r>
      <t>Available macronutrients (K)</t>
    </r>
    <r>
      <rPr>
        <b/>
        <sz val="10"/>
        <color rgb="FFFF0000"/>
        <rFont val="Aptos Narrow"/>
        <family val="2"/>
        <scheme val="minor"/>
      </rPr>
      <t xml:space="preserve"> (Kg/Ha)</t>
    </r>
  </si>
  <si>
    <r>
      <t>Available macronutrients (Ca)</t>
    </r>
    <r>
      <rPr>
        <b/>
        <sz val="10"/>
        <color rgb="FFFF0000"/>
        <rFont val="Aptos Narrow"/>
        <family val="2"/>
        <scheme val="minor"/>
      </rPr>
      <t xml:space="preserve"> (Kg/Ha)</t>
    </r>
  </si>
  <si>
    <r>
      <t>Available macronutrients (Mg)</t>
    </r>
    <r>
      <rPr>
        <b/>
        <sz val="10"/>
        <color rgb="FFFF0000"/>
        <rFont val="Aptos Narrow"/>
        <family val="2"/>
        <scheme val="minor"/>
      </rPr>
      <t xml:space="preserve"> (Kg/Ha)</t>
    </r>
  </si>
  <si>
    <r>
      <t>Available macronutrients (S)</t>
    </r>
    <r>
      <rPr>
        <b/>
        <sz val="10"/>
        <color rgb="FFFF0000"/>
        <rFont val="Aptos Narrow"/>
        <family val="2"/>
        <scheme val="minor"/>
      </rPr>
      <t xml:space="preserve"> (Kg/Ha)</t>
    </r>
  </si>
  <si>
    <r>
      <t>Available macronutrients (N)</t>
    </r>
    <r>
      <rPr>
        <b/>
        <sz val="10"/>
        <color rgb="FFFF0000"/>
        <rFont val="Aptos Narrow"/>
        <family val="2"/>
        <scheme val="minor"/>
      </rPr>
      <t xml:space="preserve"> (Kg/Ha)</t>
    </r>
  </si>
  <si>
    <r>
      <t>Soil’s water retention capacity (</t>
    </r>
    <r>
      <rPr>
        <b/>
        <sz val="10"/>
        <color rgb="FFFF0000"/>
        <rFont val="Aptos Narrow"/>
        <family val="2"/>
        <scheme val="minor"/>
      </rPr>
      <t>m3/ha</t>
    </r>
    <r>
      <rPr>
        <sz val="10"/>
        <color theme="1"/>
        <rFont val="Aptos Narrow"/>
        <family val="2"/>
        <scheme val="minor"/>
      </rPr>
      <t>)</t>
    </r>
  </si>
  <si>
    <r>
      <t>Soil erosion rate (</t>
    </r>
    <r>
      <rPr>
        <b/>
        <sz val="10"/>
        <color rgb="FFFF0000"/>
        <rFont val="Aptos Narrow"/>
        <family val="2"/>
        <scheme val="minor"/>
      </rPr>
      <t>Tn/ha</t>
    </r>
    <r>
      <rPr>
        <sz val="10"/>
        <color theme="1"/>
        <rFont val="Aptos Narrow"/>
        <family val="2"/>
        <scheme val="minor"/>
      </rPr>
      <t>)</t>
    </r>
  </si>
  <si>
    <r>
      <t>Vegetation cover (</t>
    </r>
    <r>
      <rPr>
        <b/>
        <sz val="10"/>
        <color rgb="FFFF0000"/>
        <rFont val="Aptos Narrow"/>
        <family val="2"/>
        <scheme val="minor"/>
      </rPr>
      <t>%</t>
    </r>
    <r>
      <rPr>
        <sz val="10"/>
        <color theme="1"/>
        <rFont val="Aptos Narrow"/>
        <family val="2"/>
        <scheme val="minor"/>
      </rPr>
      <t>)</t>
    </r>
  </si>
  <si>
    <r>
      <t>Presence of natural green elements (PGE) (</t>
    </r>
    <r>
      <rPr>
        <b/>
        <sz val="10"/>
        <color rgb="FFFF0000"/>
        <rFont val="Aptos Narrow"/>
        <family val="2"/>
        <scheme val="minor"/>
      </rPr>
      <t>%</t>
    </r>
    <r>
      <rPr>
        <sz val="10"/>
        <color theme="1"/>
        <rFont val="Aptos Narrow"/>
        <family val="2"/>
        <scheme val="minor"/>
      </rPr>
      <t>)</t>
    </r>
  </si>
  <si>
    <r>
      <t xml:space="preserve">Presence of cultural elements </t>
    </r>
    <r>
      <rPr>
        <b/>
        <sz val="10"/>
        <color rgb="FFFF0000"/>
        <rFont val="Aptos Narrow"/>
        <family val="2"/>
        <scheme val="minor"/>
      </rPr>
      <t>(Yes/No</t>
    </r>
    <r>
      <rPr>
        <sz val="10"/>
        <color theme="1"/>
        <rFont val="Aptos Narrow"/>
        <family val="2"/>
        <scheme val="minor"/>
      </rPr>
      <t>)</t>
    </r>
  </si>
  <si>
    <r>
      <t xml:space="preserve">Recreation </t>
    </r>
    <r>
      <rPr>
        <b/>
        <sz val="10"/>
        <color rgb="FFFF0000"/>
        <rFont val="Aptos Narrow"/>
        <family val="2"/>
        <scheme val="minor"/>
      </rPr>
      <t>index (1-7)</t>
    </r>
  </si>
  <si>
    <r>
      <t>Visitors and/or accomodations (</t>
    </r>
    <r>
      <rPr>
        <b/>
        <sz val="10"/>
        <color rgb="FFFF0000"/>
        <rFont val="Aptos Narrow"/>
        <family val="2"/>
        <scheme val="minor"/>
      </rPr>
      <t>Nº</t>
    </r>
    <r>
      <rPr>
        <sz val="10"/>
        <color theme="1"/>
        <rFont val="Aptos Narrow"/>
        <family val="2"/>
        <scheme val="minor"/>
      </rPr>
      <t>)</t>
    </r>
  </si>
  <si>
    <r>
      <t xml:space="preserve">Aesthetics landscape </t>
    </r>
    <r>
      <rPr>
        <b/>
        <sz val="10"/>
        <color rgb="FFFF0000"/>
        <rFont val="Aptos Narrow"/>
        <family val="2"/>
        <scheme val="minor"/>
      </rPr>
      <t>index (0-1</t>
    </r>
    <r>
      <rPr>
        <sz val="10"/>
        <color theme="1"/>
        <rFont val="Aptos Narrow"/>
        <family val="2"/>
        <scheme val="minor"/>
      </rPr>
      <t>)</t>
    </r>
  </si>
  <si>
    <r>
      <t>Employment generation (</t>
    </r>
    <r>
      <rPr>
        <b/>
        <sz val="10"/>
        <color rgb="FFFF0000"/>
        <rFont val="Aptos Narrow"/>
        <family val="2"/>
        <scheme val="minor"/>
      </rPr>
      <t>AWU/ha</t>
    </r>
    <r>
      <rPr>
        <sz val="10"/>
        <color theme="1"/>
        <rFont val="Aptos Narrow"/>
        <family val="2"/>
        <scheme val="minor"/>
      </rPr>
      <t>)</t>
    </r>
  </si>
  <si>
    <t>LH11</t>
  </si>
  <si>
    <t>Rotational grazing, non sowing and tillage, authoctonous livestock breeds</t>
  </si>
  <si>
    <t xml:space="preserve"> </t>
  </si>
  <si>
    <t>LH12</t>
  </si>
  <si>
    <t>Reforestation, continous tillage and lack of livestock</t>
  </si>
  <si>
    <t>SQ</t>
  </si>
  <si>
    <t>LH21</t>
  </si>
  <si>
    <t>Reclaimed tailing pond with a Technosol based on tailings, marble waste and manure, with introduction of native vegetation</t>
  </si>
  <si>
    <t>LH22</t>
  </si>
  <si>
    <t>Abandoned tailing pond with no vegetation</t>
  </si>
  <si>
    <t>LH31</t>
  </si>
  <si>
    <t>Technosols designed to counter-act the hazardous properties of soil contamination caused by mining activities</t>
  </si>
  <si>
    <t>LH32</t>
  </si>
  <si>
    <t>Mine soil under exploitation</t>
  </si>
  <si>
    <t>LH41</t>
  </si>
  <si>
    <t>Mulching​, low soil disturbance​, permanent grass cover​, appropriate fertilisation​</t>
  </si>
  <si>
    <t>NA</t>
  </si>
  <si>
    <t>LH42</t>
  </si>
  <si>
    <t>Mulching, no soil distrubance​, permanent vegetation cover​</t>
  </si>
  <si>
    <t>LH43</t>
  </si>
  <si>
    <t>No soil distrubance, no mineral fertilization​, natural decay of trees and leaves</t>
  </si>
  <si>
    <t>LH44</t>
  </si>
  <si>
    <t>Afforested area after abandoned agricultural land. No soil disturbance ​</t>
  </si>
  <si>
    <t>LH45</t>
  </si>
  <si>
    <t>Rotations of winter wheat, winter barley, winter oats, soybean, maize. Conventional tillage​, intensive mineral fertilization​, absence of cover cropping​, absence of mulching​</t>
  </si>
  <si>
    <t>LH51</t>
  </si>
  <si>
    <t>Cucumber, tomato, onion, pumpkins and strawberries​. ​Compost addition, mulching, no tillage​, no agrochemicals use​</t>
  </si>
  <si>
    <t>LH52</t>
  </si>
  <si>
    <t>​Quercus robur forest with reduced grass management</t>
  </si>
  <si>
    <t>LH53</t>
  </si>
  <si>
    <t>Leotodum taraxacoides with  reduced grass management​, addition of compost and no agrochemicals use​</t>
  </si>
  <si>
    <t>LH54</t>
  </si>
  <si>
    <t>Leotodum taraxacoides with  intensive grass management</t>
  </si>
  <si>
    <t>LH61</t>
  </si>
  <si>
    <t>Steep terrain with soil erosion in former gravel mining site owing to previous unsustainble management. Bare soil with lack of nutrients (Forest with terrain, mine to forest)</t>
  </si>
  <si>
    <t>LH62</t>
  </si>
  <si>
    <t>Old boreal forest undisturbed soil on slope. Nature 2000 habitat. (Forest with terrain, mine to forest)</t>
  </si>
  <si>
    <t>LH71</t>
  </si>
  <si>
    <t>Wide crop rotations, reduced tillage, N fixers, green manures</t>
  </si>
  <si>
    <t>LH72</t>
  </si>
  <si>
    <t xml:space="preserve">Conventional farming, chemical pest/weed control, conventional tillage, green manures </t>
  </si>
  <si>
    <t>LL15</t>
  </si>
  <si>
    <t>Experimental site CT3: conventional tillage (durum wheat/legume)​</t>
  </si>
  <si>
    <t>LL18</t>
  </si>
  <si>
    <t>Experimental site SS7:  sod seeding (soft wheat /maize wholemeal sheredded)​</t>
  </si>
  <si>
    <t>LL111</t>
  </si>
  <si>
    <t>Experimental site RT9: olive groves</t>
  </si>
  <si>
    <t>LL22</t>
  </si>
  <si>
    <t>Biodynamic system</t>
  </si>
  <si>
    <t>LL24</t>
  </si>
  <si>
    <t>Conventional system with an organic and mineral fertilization</t>
  </si>
  <si>
    <t>Nuevos datos 2025</t>
  </si>
  <si>
    <t>Mean (€/ha)</t>
  </si>
  <si>
    <t>min (€/ha)</t>
  </si>
  <si>
    <t>Max (€/ha)</t>
  </si>
  <si>
    <t>Plant biomass (3)</t>
  </si>
  <si>
    <r>
      <t xml:space="preserve">CO2 sequestration (10; </t>
    </r>
    <r>
      <rPr>
        <b/>
        <sz val="11"/>
        <color rgb="FFFF0000"/>
        <rFont val="Aptos Narrow"/>
        <family val="2"/>
        <scheme val="minor"/>
      </rPr>
      <t>dep in ln</t>
    </r>
    <r>
      <rPr>
        <b/>
        <sz val="11"/>
        <color theme="1"/>
        <rFont val="Aptos Narrow"/>
        <family val="2"/>
        <scheme val="minor"/>
      </rPr>
      <t>)</t>
    </r>
  </si>
  <si>
    <t>Pollution of surface or ground water by nitrates (22)</t>
  </si>
  <si>
    <r>
      <t xml:space="preserve">Soil's water retention capacity </t>
    </r>
    <r>
      <rPr>
        <b/>
        <sz val="11"/>
        <color rgb="FFFF0000"/>
        <rFont val="Aptos Narrow"/>
        <family val="2"/>
        <scheme val="minor"/>
      </rPr>
      <t>(33; dep in log</t>
    </r>
    <r>
      <rPr>
        <b/>
        <sz val="11"/>
        <color theme="1"/>
        <rFont val="Aptos Narrow"/>
        <family val="2"/>
        <scheme val="minor"/>
      </rPr>
      <t>)</t>
    </r>
  </si>
  <si>
    <r>
      <t xml:space="preserve">Soil erosion rate (41; </t>
    </r>
    <r>
      <rPr>
        <b/>
        <sz val="11"/>
        <color rgb="FFFF0000"/>
        <rFont val="Aptos Narrow"/>
        <family val="2"/>
        <scheme val="minor"/>
      </rPr>
      <t>dep in log</t>
    </r>
    <r>
      <rPr>
        <b/>
        <sz val="11"/>
        <color theme="1"/>
        <rFont val="Aptos Narrow"/>
        <family val="2"/>
        <scheme val="minor"/>
      </rPr>
      <t>)</t>
    </r>
  </si>
  <si>
    <t>Vegetation cover (método coste de reemplazamiento) (42)</t>
  </si>
  <si>
    <t>Aesthetics landscape indx (69)</t>
  </si>
  <si>
    <t>Employment generation (71)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</si>
</sst>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i/>
      <sz val="9"/>
      <color theme="1"/>
      <name val="Raleway"/>
    </font>
    <font>
      <i/>
      <sz val="9"/>
      <color theme="1"/>
      <name val="Raleway"/>
    </font>
    <font>
      <i/>
      <strike/>
      <sz val="9"/>
      <color theme="1"/>
      <name val="Raleway"/>
    </font>
    <font>
      <i/>
      <strike/>
      <vertAlign val="superscript"/>
      <sz val="9"/>
      <color theme="1"/>
      <name val="Raleway"/>
    </font>
    <font>
      <strike/>
      <sz val="11"/>
      <color theme="1"/>
      <name val="Aptos Narrow"/>
      <family val="2"/>
      <scheme val="minor"/>
    </font>
    <font>
      <sz val="9"/>
      <color theme="1"/>
      <name val="Raleway"/>
    </font>
    <font>
      <i/>
      <vertAlign val="superscript"/>
      <sz val="9"/>
      <color theme="1"/>
      <name val="Raleway"/>
    </font>
    <font>
      <b/>
      <sz val="9"/>
      <color theme="1"/>
      <name val="Raleway"/>
    </font>
    <font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Raleway"/>
    </font>
    <font>
      <sz val="11"/>
      <color rgb="FFFFFFFF"/>
      <name val="Raleway"/>
    </font>
    <font>
      <i/>
      <sz val="11"/>
      <color rgb="FF000000"/>
      <name val="Raleway"/>
    </font>
    <font>
      <sz val="11"/>
      <color theme="1"/>
      <name val="Aptos"/>
      <family val="2"/>
    </font>
    <font>
      <b/>
      <i/>
      <sz val="11"/>
      <color rgb="FF000000"/>
      <name val="Raleway"/>
    </font>
    <font>
      <sz val="11"/>
      <color rgb="FF006100"/>
      <name val="Raleway"/>
    </font>
    <font>
      <b/>
      <sz val="11"/>
      <color rgb="FF000000"/>
      <name val="Raleway"/>
    </font>
    <font>
      <sz val="11"/>
      <color theme="0"/>
      <name val="Raleway"/>
    </font>
    <font>
      <i/>
      <sz val="11"/>
      <color theme="1"/>
      <name val="Aptos Narrow"/>
      <family val="2"/>
      <scheme val="minor"/>
    </font>
    <font>
      <i/>
      <sz val="11"/>
      <color theme="1"/>
      <name val="Raleway"/>
    </font>
    <font>
      <sz val="11"/>
      <color theme="1"/>
      <name val="Raleway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74936"/>
        <bgColor indexed="64"/>
      </patternFill>
    </fill>
    <fill>
      <patternFill patternType="solid">
        <fgColor rgb="FF83A096"/>
        <bgColor indexed="64"/>
      </patternFill>
    </fill>
    <fill>
      <patternFill patternType="solid">
        <fgColor rgb="FFB8C8C3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0" fillId="3" borderId="2" xfId="0" applyFill="1" applyBorder="1" applyAlignment="1">
      <alignment horizontal="center"/>
    </xf>
    <xf numFmtId="0" fontId="0" fillId="0" borderId="4" xfId="0" applyBorder="1"/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164" fontId="0" fillId="0" borderId="1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5" fillId="7" borderId="15" xfId="0" applyFont="1" applyFill="1" applyBorder="1" applyAlignment="1">
      <alignment vertical="center" wrapText="1"/>
    </xf>
    <xf numFmtId="164" fontId="0" fillId="7" borderId="13" xfId="0" applyNumberFormat="1" applyFill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0" fontId="0" fillId="7" borderId="0" xfId="0" applyFill="1"/>
    <xf numFmtId="164" fontId="0" fillId="7" borderId="1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3" borderId="13" xfId="0" applyNumberFormat="1" applyFill="1" applyBorder="1" applyAlignment="1">
      <alignment horizontal="center" vertical="center"/>
    </xf>
    <xf numFmtId="164" fontId="8" fillId="0" borderId="13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0" fontId="9" fillId="0" borderId="16" xfId="0" applyFont="1" applyBorder="1" applyAlignment="1">
      <alignment vertical="center" wrapText="1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7" borderId="16" xfId="0" applyFont="1" applyFill="1" applyBorder="1" applyAlignment="1">
      <alignment horizontal="left" vertical="center" wrapText="1" indent="2"/>
    </xf>
    <xf numFmtId="0" fontId="5" fillId="0" borderId="16" xfId="0" applyFont="1" applyBorder="1" applyAlignment="1">
      <alignment horizontal="left" vertical="center" wrapText="1" indent="2"/>
    </xf>
    <xf numFmtId="164" fontId="0" fillId="0" borderId="1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5" fillId="7" borderId="17" xfId="0" applyFont="1" applyFill="1" applyBorder="1" applyAlignment="1">
      <alignment horizontal="left" vertical="center" wrapText="1" indent="2"/>
    </xf>
    <xf numFmtId="2" fontId="0" fillId="8" borderId="14" xfId="0" applyNumberFormat="1" applyFill="1" applyBorder="1" applyAlignment="1">
      <alignment horizontal="center" vertical="center"/>
    </xf>
    <xf numFmtId="0" fontId="5" fillId="0" borderId="18" xfId="0" applyFont="1" applyBorder="1" applyAlignment="1">
      <alignment horizontal="left" vertical="center" wrapText="1" indent="2"/>
    </xf>
    <xf numFmtId="0" fontId="5" fillId="0" borderId="15" xfId="0" applyFont="1" applyBorder="1" applyAlignment="1">
      <alignment horizontal="left" vertical="center" wrapText="1" indent="2"/>
    </xf>
    <xf numFmtId="2" fontId="0" fillId="0" borderId="12" xfId="0" applyNumberForma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2" fontId="9" fillId="0" borderId="0" xfId="0" applyNumberFormat="1" applyFont="1" applyAlignment="1">
      <alignment horizontal="center" vertical="center" wrapText="1"/>
    </xf>
    <xf numFmtId="2" fontId="0" fillId="0" borderId="0" xfId="0" applyNumberFormat="1"/>
    <xf numFmtId="164" fontId="4" fillId="0" borderId="0" xfId="0" applyNumberFormat="1" applyFont="1" applyAlignment="1">
      <alignment vertical="center" wrapText="1"/>
    </xf>
    <xf numFmtId="0" fontId="12" fillId="0" borderId="0" xfId="0" applyFont="1"/>
    <xf numFmtId="2" fontId="0" fillId="0" borderId="13" xfId="0" applyNumberFormat="1" applyBorder="1" applyAlignment="1">
      <alignment horizontal="center" vertical="center"/>
    </xf>
    <xf numFmtId="1" fontId="0" fillId="7" borderId="13" xfId="0" applyNumberFormat="1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5" borderId="11" xfId="0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5" borderId="9" xfId="0" applyFill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4" fontId="0" fillId="0" borderId="14" xfId="0" applyNumberFormat="1" applyBorder="1" applyAlignment="1">
      <alignment horizontal="center"/>
    </xf>
    <xf numFmtId="0" fontId="0" fillId="7" borderId="4" xfId="0" applyFill="1" applyBorder="1"/>
    <xf numFmtId="0" fontId="0" fillId="0" borderId="0" xfId="0" applyAlignment="1">
      <alignment vertical="center"/>
    </xf>
    <xf numFmtId="0" fontId="5" fillId="7" borderId="19" xfId="0" applyFont="1" applyFill="1" applyBorder="1" applyAlignment="1">
      <alignment vertical="center" wrapText="1"/>
    </xf>
    <xf numFmtId="164" fontId="0" fillId="0" borderId="21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3" borderId="23" xfId="0" applyNumberFormat="1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6" fillId="0" borderId="16" xfId="0" applyFont="1" applyBorder="1" applyAlignment="1">
      <alignment vertical="center" wrapText="1"/>
    </xf>
    <xf numFmtId="164" fontId="0" fillId="7" borderId="26" xfId="0" applyNumberFormat="1" applyFill="1" applyBorder="1" applyAlignment="1">
      <alignment horizontal="center" vertical="center"/>
    </xf>
    <xf numFmtId="1" fontId="0" fillId="7" borderId="26" xfId="0" applyNumberFormat="1" applyFill="1" applyBorder="1" applyAlignment="1">
      <alignment horizontal="center" vertical="center"/>
    </xf>
    <xf numFmtId="164" fontId="0" fillId="7" borderId="27" xfId="0" applyNumberFormat="1" applyFill="1" applyBorder="1" applyAlignment="1">
      <alignment horizontal="center" vertical="center"/>
    </xf>
    <xf numFmtId="164" fontId="0" fillId="7" borderId="28" xfId="0" applyNumberFormat="1" applyFill="1" applyBorder="1" applyAlignment="1">
      <alignment horizontal="center" vertical="center"/>
    </xf>
    <xf numFmtId="164" fontId="0" fillId="7" borderId="29" xfId="0" applyNumberFormat="1" applyFill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164" fontId="0" fillId="3" borderId="26" xfId="0" applyNumberFormat="1" applyFill="1" applyBorder="1" applyAlignment="1">
      <alignment horizontal="center" vertical="center"/>
    </xf>
    <xf numFmtId="164" fontId="0" fillId="7" borderId="30" xfId="0" applyNumberFormat="1" applyFill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7" borderId="3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7" borderId="0" xfId="0" applyNumberFormat="1" applyFill="1" applyAlignment="1">
      <alignment horizontal="center" vertical="center"/>
    </xf>
    <xf numFmtId="164" fontId="0" fillId="7" borderId="23" xfId="0" applyNumberFormat="1" applyFill="1" applyBorder="1" applyAlignment="1">
      <alignment horizontal="center" vertical="center"/>
    </xf>
    <xf numFmtId="1" fontId="0" fillId="7" borderId="23" xfId="0" applyNumberFormat="1" applyFill="1" applyBorder="1" applyAlignment="1">
      <alignment horizontal="center" vertical="center"/>
    </xf>
    <xf numFmtId="164" fontId="0" fillId="7" borderId="22" xfId="0" applyNumberFormat="1" applyFill="1" applyBorder="1" applyAlignment="1">
      <alignment horizontal="center" vertical="center"/>
    </xf>
    <xf numFmtId="164" fontId="0" fillId="7" borderId="24" xfId="0" applyNumberFormat="1" applyFill="1" applyBorder="1" applyAlignment="1">
      <alignment horizontal="center" vertical="center"/>
    </xf>
    <xf numFmtId="164" fontId="0" fillId="7" borderId="32" xfId="0" applyNumberFormat="1" applyFill="1" applyBorder="1" applyAlignment="1">
      <alignment horizontal="center" vertical="center"/>
    </xf>
    <xf numFmtId="2" fontId="0" fillId="8" borderId="22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7" borderId="33" xfId="0" applyNumberFormat="1" applyFill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2" fontId="0" fillId="7" borderId="22" xfId="0" applyNumberFormat="1" applyFill="1" applyBorder="1" applyAlignment="1">
      <alignment horizontal="center" vertical="center"/>
    </xf>
    <xf numFmtId="2" fontId="0" fillId="7" borderId="24" xfId="0" applyNumberFormat="1" applyFill="1" applyBorder="1" applyAlignment="1">
      <alignment horizontal="center" vertical="center"/>
    </xf>
    <xf numFmtId="2" fontId="0" fillId="7" borderId="32" xfId="0" applyNumberForma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0" fontId="0" fillId="9" borderId="13" xfId="0" applyFill="1" applyBorder="1"/>
    <xf numFmtId="0" fontId="0" fillId="9" borderId="0" xfId="0" applyFill="1"/>
    <xf numFmtId="0" fontId="0" fillId="9" borderId="4" xfId="0" applyFill="1" applyBorder="1"/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/>
    <xf numFmtId="0" fontId="5" fillId="10" borderId="15" xfId="0" applyFont="1" applyFill="1" applyBorder="1" applyAlignment="1">
      <alignment vertical="center" wrapText="1"/>
    </xf>
    <xf numFmtId="2" fontId="0" fillId="0" borderId="4" xfId="0" applyNumberFormat="1" applyBorder="1" applyAlignment="1">
      <alignment horizontal="center" vertical="center"/>
    </xf>
    <xf numFmtId="0" fontId="5" fillId="11" borderId="16" xfId="0" applyFont="1" applyFill="1" applyBorder="1" applyAlignment="1">
      <alignment vertical="center" wrapText="1"/>
    </xf>
    <xf numFmtId="0" fontId="6" fillId="9" borderId="17" xfId="0" applyFont="1" applyFill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10" borderId="16" xfId="0" applyFont="1" applyFill="1" applyBorder="1" applyAlignment="1">
      <alignment vertical="center" wrapText="1"/>
    </xf>
    <xf numFmtId="0" fontId="5" fillId="10" borderId="16" xfId="0" applyFont="1" applyFill="1" applyBorder="1" applyAlignment="1">
      <alignment horizontal="left" vertical="center" wrapText="1"/>
    </xf>
    <xf numFmtId="0" fontId="5" fillId="11" borderId="16" xfId="0" applyFont="1" applyFill="1" applyBorder="1" applyAlignment="1">
      <alignment horizontal="left" vertical="center" wrapText="1" indent="2"/>
    </xf>
    <xf numFmtId="0" fontId="5" fillId="9" borderId="16" xfId="0" applyFont="1" applyFill="1" applyBorder="1" applyAlignment="1">
      <alignment horizontal="left" vertical="center" wrapText="1" indent="2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12" borderId="16" xfId="0" applyFont="1" applyFill="1" applyBorder="1" applyAlignment="1">
      <alignment horizontal="left" vertical="center" wrapText="1" indent="2"/>
    </xf>
    <xf numFmtId="0" fontId="5" fillId="13" borderId="16" xfId="0" applyFont="1" applyFill="1" applyBorder="1" applyAlignment="1">
      <alignment horizontal="left" vertical="center" wrapText="1" indent="2"/>
    </xf>
    <xf numFmtId="0" fontId="5" fillId="13" borderId="17" xfId="0" applyFont="1" applyFill="1" applyBorder="1" applyAlignment="1">
      <alignment horizontal="left" vertical="center" wrapText="1" indent="2"/>
    </xf>
    <xf numFmtId="0" fontId="5" fillId="12" borderId="17" xfId="0" applyFont="1" applyFill="1" applyBorder="1" applyAlignment="1">
      <alignment horizontal="left" vertical="center" wrapText="1" indent="2"/>
    </xf>
    <xf numFmtId="164" fontId="0" fillId="0" borderId="0" xfId="0" applyNumberFormat="1"/>
    <xf numFmtId="0" fontId="14" fillId="15" borderId="16" xfId="0" applyFont="1" applyFill="1" applyBorder="1" applyAlignment="1">
      <alignment horizontal="center" vertical="center" wrapText="1"/>
    </xf>
    <xf numFmtId="0" fontId="14" fillId="15" borderId="38" xfId="0" applyFont="1" applyFill="1" applyBorder="1" applyAlignment="1">
      <alignment horizontal="center" vertical="center" wrapText="1"/>
    </xf>
    <xf numFmtId="4" fontId="14" fillId="0" borderId="0" xfId="0" applyNumberFormat="1" applyFont="1" applyAlignment="1">
      <alignment vertical="center" wrapText="1"/>
    </xf>
    <xf numFmtId="4" fontId="14" fillId="0" borderId="15" xfId="0" applyNumberFormat="1" applyFont="1" applyBorder="1" applyAlignment="1">
      <alignment horizontal="center" vertical="center" wrapText="1"/>
    </xf>
    <xf numFmtId="4" fontId="14" fillId="0" borderId="28" xfId="0" applyNumberFormat="1" applyFont="1" applyBorder="1" applyAlignment="1">
      <alignment horizontal="center" vertical="center" wrapText="1"/>
    </xf>
    <xf numFmtId="4" fontId="14" fillId="0" borderId="37" xfId="0" applyNumberFormat="1" applyFont="1" applyBorder="1" applyAlignment="1">
      <alignment horizontal="center" vertical="center" wrapText="1"/>
    </xf>
    <xf numFmtId="4" fontId="14" fillId="0" borderId="44" xfId="0" applyNumberFormat="1" applyFont="1" applyBorder="1" applyAlignment="1">
      <alignment vertical="center" wrapText="1"/>
    </xf>
    <xf numFmtId="4" fontId="14" fillId="0" borderId="18" xfId="0" applyNumberFormat="1" applyFont="1" applyBorder="1" applyAlignment="1">
      <alignment horizontal="center" vertical="center" wrapText="1"/>
    </xf>
    <xf numFmtId="4" fontId="14" fillId="0" borderId="44" xfId="0" applyNumberFormat="1" applyFont="1" applyBorder="1" applyAlignment="1">
      <alignment horizontal="center" vertical="center" wrapText="1"/>
    </xf>
    <xf numFmtId="4" fontId="14" fillId="0" borderId="40" xfId="0" applyNumberFormat="1" applyFont="1" applyBorder="1" applyAlignment="1">
      <alignment horizontal="center" vertical="center" wrapText="1"/>
    </xf>
    <xf numFmtId="4" fontId="16" fillId="0" borderId="0" xfId="0" applyNumberFormat="1" applyFont="1" applyAlignment="1">
      <alignment vertical="center" wrapText="1"/>
    </xf>
    <xf numFmtId="4" fontId="16" fillId="0" borderId="16" xfId="0" applyNumberFormat="1" applyFont="1" applyBorder="1" applyAlignment="1">
      <alignment horizontal="center" vertical="center" wrapText="1"/>
    </xf>
    <xf numFmtId="4" fontId="17" fillId="0" borderId="0" xfId="0" applyNumberFormat="1" applyFont="1" applyAlignment="1">
      <alignment vertical="center" wrapText="1"/>
    </xf>
    <xf numFmtId="4" fontId="16" fillId="0" borderId="38" xfId="0" applyNumberFormat="1" applyFont="1" applyBorder="1" applyAlignment="1">
      <alignment horizontal="center" vertical="center" wrapText="1"/>
    </xf>
    <xf numFmtId="4" fontId="16" fillId="0" borderId="0" xfId="0" applyNumberFormat="1" applyFont="1" applyAlignment="1">
      <alignment horizontal="center" vertical="center" wrapText="1"/>
    </xf>
    <xf numFmtId="4" fontId="16" fillId="0" borderId="44" xfId="0" applyNumberFormat="1" applyFont="1" applyBorder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14" fillId="0" borderId="16" xfId="0" applyNumberFormat="1" applyFont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9" fillId="0" borderId="38" xfId="0" applyNumberFormat="1" applyFont="1" applyBorder="1" applyAlignment="1">
      <alignment horizontal="center" vertical="center" wrapText="1"/>
    </xf>
    <xf numFmtId="4" fontId="16" fillId="0" borderId="18" xfId="0" applyNumberFormat="1" applyFont="1" applyBorder="1" applyAlignment="1">
      <alignment horizontal="center" vertical="center" wrapText="1"/>
    </xf>
    <xf numFmtId="4" fontId="16" fillId="0" borderId="44" xfId="0" applyNumberFormat="1" applyFont="1" applyBorder="1" applyAlignment="1">
      <alignment horizontal="center" vertical="center" wrapText="1"/>
    </xf>
    <xf numFmtId="4" fontId="16" fillId="0" borderId="40" xfId="0" applyNumberFormat="1" applyFont="1" applyBorder="1" applyAlignment="1">
      <alignment horizontal="center" vertical="center" wrapText="1"/>
    </xf>
    <xf numFmtId="4" fontId="16" fillId="0" borderId="24" xfId="0" applyNumberFormat="1" applyFont="1" applyBorder="1" applyAlignment="1">
      <alignment vertical="center" wrapText="1"/>
    </xf>
    <xf numFmtId="4" fontId="14" fillId="0" borderId="17" xfId="0" applyNumberFormat="1" applyFont="1" applyBorder="1" applyAlignment="1">
      <alignment horizontal="center" vertical="center" wrapText="1"/>
    </xf>
    <xf numFmtId="4" fontId="14" fillId="0" borderId="24" xfId="0" applyNumberFormat="1" applyFont="1" applyBorder="1" applyAlignment="1">
      <alignment horizontal="center" vertical="center" wrapText="1"/>
    </xf>
    <xf numFmtId="4" fontId="14" fillId="0" borderId="39" xfId="0" applyNumberFormat="1" applyFont="1" applyBorder="1" applyAlignment="1">
      <alignment horizontal="center" vertical="center" wrapText="1"/>
    </xf>
    <xf numFmtId="4" fontId="20" fillId="0" borderId="39" xfId="0" applyNumberFormat="1" applyFont="1" applyBorder="1" applyAlignment="1">
      <alignment horizontal="center" vertical="center" wrapText="1"/>
    </xf>
    <xf numFmtId="0" fontId="14" fillId="15" borderId="17" xfId="0" applyFont="1" applyFill="1" applyBorder="1" applyAlignment="1">
      <alignment horizontal="center" vertical="center" wrapText="1"/>
    </xf>
    <xf numFmtId="0" fontId="14" fillId="15" borderId="24" xfId="0" applyFont="1" applyFill="1" applyBorder="1" applyAlignment="1">
      <alignment horizontal="center" vertical="center" wrapText="1"/>
    </xf>
    <xf numFmtId="0" fontId="21" fillId="14" borderId="24" xfId="0" applyFont="1" applyFill="1" applyBorder="1" applyAlignment="1">
      <alignment horizontal="center" vertical="center" wrapText="1"/>
    </xf>
    <xf numFmtId="0" fontId="21" fillId="14" borderId="39" xfId="0" applyFont="1" applyFill="1" applyBorder="1" applyAlignment="1">
      <alignment horizontal="center" vertical="center" wrapText="1"/>
    </xf>
    <xf numFmtId="4" fontId="14" fillId="16" borderId="44" xfId="0" applyNumberFormat="1" applyFont="1" applyFill="1" applyBorder="1" applyAlignment="1">
      <alignment horizontal="center" vertical="center" wrapText="1"/>
    </xf>
    <xf numFmtId="4" fontId="14" fillId="16" borderId="40" xfId="0" applyNumberFormat="1" applyFont="1" applyFill="1" applyBorder="1" applyAlignment="1">
      <alignment horizontal="center" vertical="center" wrapText="1"/>
    </xf>
    <xf numFmtId="4" fontId="16" fillId="0" borderId="15" xfId="0" applyNumberFormat="1" applyFont="1" applyBorder="1" applyAlignment="1">
      <alignment horizontal="center" vertical="center" wrapText="1"/>
    </xf>
    <xf numFmtId="4" fontId="17" fillId="0" borderId="28" xfId="0" applyNumberFormat="1" applyFont="1" applyBorder="1" applyAlignment="1">
      <alignment vertical="center" wrapText="1"/>
    </xf>
    <xf numFmtId="4" fontId="16" fillId="16" borderId="28" xfId="0" applyNumberFormat="1" applyFont="1" applyFill="1" applyBorder="1" applyAlignment="1">
      <alignment horizontal="center" vertical="center" wrapText="1"/>
    </xf>
    <xf numFmtId="2" fontId="22" fillId="16" borderId="28" xfId="0" applyNumberFormat="1" applyFont="1" applyFill="1" applyBorder="1" applyAlignment="1">
      <alignment horizontal="center" vertical="center"/>
    </xf>
    <xf numFmtId="2" fontId="22" fillId="16" borderId="37" xfId="0" applyNumberFormat="1" applyFont="1" applyFill="1" applyBorder="1" applyAlignment="1">
      <alignment horizontal="center" vertical="center"/>
    </xf>
    <xf numFmtId="4" fontId="16" fillId="0" borderId="17" xfId="0" applyNumberFormat="1" applyFont="1" applyBorder="1" applyAlignment="1">
      <alignment horizontal="center" vertical="center" wrapText="1"/>
    </xf>
    <xf numFmtId="4" fontId="16" fillId="0" borderId="24" xfId="0" applyNumberFormat="1" applyFont="1" applyBorder="1" applyAlignment="1">
      <alignment horizontal="center" vertical="center" wrapText="1"/>
    </xf>
    <xf numFmtId="4" fontId="16" fillId="16" borderId="24" xfId="0" applyNumberFormat="1" applyFont="1" applyFill="1" applyBorder="1" applyAlignment="1">
      <alignment horizontal="center" vertical="center" wrapText="1"/>
    </xf>
    <xf numFmtId="2" fontId="22" fillId="16" borderId="24" xfId="0" applyNumberFormat="1" applyFont="1" applyFill="1" applyBorder="1" applyAlignment="1">
      <alignment horizontal="center" vertical="center"/>
    </xf>
    <xf numFmtId="2" fontId="22" fillId="16" borderId="39" xfId="0" applyNumberFormat="1" applyFont="1" applyFill="1" applyBorder="1" applyAlignment="1">
      <alignment horizontal="center" vertical="center"/>
    </xf>
    <xf numFmtId="4" fontId="19" fillId="16" borderId="0" xfId="0" applyNumberFormat="1" applyFont="1" applyFill="1" applyAlignment="1">
      <alignment horizontal="center" vertical="center" wrapText="1"/>
    </xf>
    <xf numFmtId="2" fontId="22" fillId="16" borderId="0" xfId="0" applyNumberFormat="1" applyFont="1" applyFill="1" applyAlignment="1">
      <alignment horizontal="center" vertical="center"/>
    </xf>
    <xf numFmtId="2" fontId="22" fillId="16" borderId="38" xfId="0" applyNumberFormat="1" applyFont="1" applyFill="1" applyBorder="1" applyAlignment="1">
      <alignment horizontal="center" vertical="center"/>
    </xf>
    <xf numFmtId="2" fontId="23" fillId="16" borderId="44" xfId="0" applyNumberFormat="1" applyFont="1" applyFill="1" applyBorder="1" applyAlignment="1">
      <alignment horizontal="center" vertical="center"/>
    </xf>
    <xf numFmtId="2" fontId="23" fillId="16" borderId="40" xfId="0" applyNumberFormat="1" applyFont="1" applyFill="1" applyBorder="1" applyAlignment="1">
      <alignment horizontal="center" vertical="center"/>
    </xf>
    <xf numFmtId="4" fontId="16" fillId="16" borderId="44" xfId="0" applyNumberFormat="1" applyFont="1" applyFill="1" applyBorder="1" applyAlignment="1">
      <alignment horizontal="center" vertical="center" wrapText="1"/>
    </xf>
    <xf numFmtId="2" fontId="24" fillId="16" borderId="44" xfId="0" applyNumberFormat="1" applyFont="1" applyFill="1" applyBorder="1" applyAlignment="1">
      <alignment horizontal="center" vertical="center"/>
    </xf>
    <xf numFmtId="2" fontId="24" fillId="16" borderId="40" xfId="0" applyNumberFormat="1" applyFont="1" applyFill="1" applyBorder="1" applyAlignment="1">
      <alignment horizontal="center" vertical="center"/>
    </xf>
    <xf numFmtId="2" fontId="0" fillId="2" borderId="0" xfId="0" applyNumberFormat="1" applyFill="1"/>
    <xf numFmtId="4" fontId="24" fillId="0" borderId="44" xfId="0" applyNumberFormat="1" applyFont="1" applyBorder="1" applyAlignment="1">
      <alignment horizontal="center" vertical="center" wrapText="1"/>
    </xf>
    <xf numFmtId="4" fontId="20" fillId="16" borderId="44" xfId="0" applyNumberFormat="1" applyFont="1" applyFill="1" applyBorder="1" applyAlignment="1">
      <alignment horizontal="center" vertical="center" wrapText="1"/>
    </xf>
    <xf numFmtId="4" fontId="20" fillId="16" borderId="40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0" fontId="25" fillId="17" borderId="28" xfId="0" applyFont="1" applyFill="1" applyBorder="1" applyAlignment="1">
      <alignment horizontal="center" vertical="center" wrapText="1"/>
    </xf>
    <xf numFmtId="0" fontId="25" fillId="4" borderId="28" xfId="0" applyFont="1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4" borderId="42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0" xfId="0" applyFont="1" applyFill="1"/>
    <xf numFmtId="0" fontId="25" fillId="17" borderId="0" xfId="0" applyFont="1" applyFill="1" applyAlignment="1">
      <alignment horizontal="center" vertical="center" wrapText="1"/>
    </xf>
    <xf numFmtId="0" fontId="25" fillId="18" borderId="38" xfId="0" applyFont="1" applyFill="1" applyBorder="1" applyAlignment="1">
      <alignment horizontal="center" vertical="center" wrapText="1"/>
    </xf>
    <xf numFmtId="0" fontId="26" fillId="18" borderId="48" xfId="0" applyFont="1" applyFill="1" applyBorder="1" applyAlignment="1">
      <alignment horizontal="center" vertical="center"/>
    </xf>
    <xf numFmtId="0" fontId="26" fillId="18" borderId="48" xfId="0" applyFont="1" applyFill="1" applyBorder="1" applyAlignment="1">
      <alignment horizontal="center" vertical="center" wrapText="1"/>
    </xf>
    <xf numFmtId="0" fontId="26" fillId="3" borderId="18" xfId="0" applyFont="1" applyFill="1" applyBorder="1" applyAlignment="1">
      <alignment horizontal="center" vertical="center"/>
    </xf>
    <xf numFmtId="0" fontId="26" fillId="18" borderId="37" xfId="0" applyFont="1" applyFill="1" applyBorder="1" applyAlignment="1">
      <alignment horizontal="center" vertical="center" wrapText="1"/>
    </xf>
    <xf numFmtId="0" fontId="26" fillId="18" borderId="42" xfId="0" applyFont="1" applyFill="1" applyBorder="1" applyAlignment="1">
      <alignment horizontal="center" vertical="center" wrapText="1"/>
    </xf>
    <xf numFmtId="0" fontId="26" fillId="3" borderId="37" xfId="0" applyFont="1" applyFill="1" applyBorder="1" applyAlignment="1">
      <alignment horizontal="center" vertical="center"/>
    </xf>
    <xf numFmtId="0" fontId="26" fillId="3" borderId="42" xfId="0" applyFont="1" applyFill="1" applyBorder="1" applyAlignment="1">
      <alignment horizontal="center" vertical="center" wrapText="1"/>
    </xf>
    <xf numFmtId="0" fontId="25" fillId="17" borderId="17" xfId="0" applyFont="1" applyFill="1" applyBorder="1" applyAlignment="1">
      <alignment horizontal="center" wrapText="1"/>
    </xf>
    <xf numFmtId="0" fontId="25" fillId="17" borderId="24" xfId="0" applyFont="1" applyFill="1" applyBorder="1" applyAlignment="1">
      <alignment horizontal="center" wrapText="1"/>
    </xf>
    <xf numFmtId="0" fontId="25" fillId="17" borderId="39" xfId="0" applyFont="1" applyFill="1" applyBorder="1" applyAlignment="1">
      <alignment horizontal="center" wrapText="1"/>
    </xf>
    <xf numFmtId="0" fontId="25" fillId="17" borderId="0" xfId="0" applyFont="1" applyFill="1" applyAlignment="1">
      <alignment horizontal="center" wrapText="1"/>
    </xf>
    <xf numFmtId="0" fontId="25" fillId="19" borderId="38" xfId="0" applyFont="1" applyFill="1" applyBorder="1" applyAlignment="1">
      <alignment horizontal="center" vertical="center" wrapText="1"/>
    </xf>
    <xf numFmtId="0" fontId="26" fillId="19" borderId="43" xfId="0" applyFont="1" applyFill="1" applyBorder="1" applyAlignment="1">
      <alignment horizontal="center" vertical="center" wrapText="1"/>
    </xf>
    <xf numFmtId="0" fontId="26" fillId="19" borderId="49" xfId="0" applyFont="1" applyFill="1" applyBorder="1" applyAlignment="1">
      <alignment horizontal="center" vertical="center" wrapText="1"/>
    </xf>
    <xf numFmtId="0" fontId="26" fillId="19" borderId="42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 wrapText="1"/>
    </xf>
    <xf numFmtId="0" fontId="26" fillId="19" borderId="50" xfId="0" applyFont="1" applyFill="1" applyBorder="1" applyAlignment="1">
      <alignment horizontal="center" vertical="center" wrapText="1"/>
    </xf>
    <xf numFmtId="0" fontId="26" fillId="19" borderId="51" xfId="0" applyFont="1" applyFill="1" applyBorder="1" applyAlignment="1">
      <alignment horizontal="center" vertical="center" wrapText="1"/>
    </xf>
    <xf numFmtId="0" fontId="26" fillId="19" borderId="52" xfId="0" applyFont="1" applyFill="1" applyBorder="1" applyAlignment="1">
      <alignment horizontal="center" vertical="center" wrapText="1"/>
    </xf>
    <xf numFmtId="0" fontId="26" fillId="19" borderId="37" xfId="0" applyFont="1" applyFill="1" applyBorder="1" applyAlignment="1">
      <alignment horizontal="center" vertical="center" wrapText="1"/>
    </xf>
    <xf numFmtId="0" fontId="26" fillId="19" borderId="15" xfId="0" applyFont="1" applyFill="1" applyBorder="1" applyAlignment="1">
      <alignment horizontal="center" vertical="center" wrapText="1"/>
    </xf>
    <xf numFmtId="0" fontId="26" fillId="3" borderId="37" xfId="0" applyFont="1" applyFill="1" applyBorder="1" applyAlignment="1">
      <alignment horizontal="center" vertical="center" wrapText="1"/>
    </xf>
    <xf numFmtId="0" fontId="28" fillId="0" borderId="0" xfId="0" applyFont="1"/>
    <xf numFmtId="0" fontId="28" fillId="0" borderId="5" xfId="0" applyFont="1" applyBorder="1"/>
    <xf numFmtId="0" fontId="28" fillId="2" borderId="6" xfId="0" applyFont="1" applyFill="1" applyBorder="1"/>
    <xf numFmtId="0" fontId="28" fillId="5" borderId="6" xfId="0" applyFont="1" applyFill="1" applyBorder="1" applyAlignment="1">
      <alignment horizontal="center" vertical="center"/>
    </xf>
    <xf numFmtId="0" fontId="28" fillId="20" borderId="8" xfId="0" applyFont="1" applyFill="1" applyBorder="1" applyAlignment="1">
      <alignment horizontal="center"/>
    </xf>
    <xf numFmtId="0" fontId="0" fillId="0" borderId="53" xfId="0" applyBorder="1"/>
    <xf numFmtId="0" fontId="0" fillId="0" borderId="43" xfId="0" applyBorder="1"/>
    <xf numFmtId="0" fontId="0" fillId="0" borderId="54" xfId="0" applyBorder="1"/>
    <xf numFmtId="0" fontId="0" fillId="3" borderId="0" xfId="0" applyFill="1"/>
    <xf numFmtId="2" fontId="0" fillId="0" borderId="14" xfId="0" applyNumberFormat="1" applyBorder="1"/>
    <xf numFmtId="0" fontId="0" fillId="0" borderId="38" xfId="0" applyBorder="1"/>
    <xf numFmtId="0" fontId="0" fillId="0" borderId="55" xfId="0" applyBorder="1"/>
    <xf numFmtId="1" fontId="0" fillId="0" borderId="54" xfId="0" applyNumberFormat="1" applyBorder="1"/>
    <xf numFmtId="2" fontId="0" fillId="5" borderId="54" xfId="0" applyNumberFormat="1" applyFill="1" applyBorder="1"/>
    <xf numFmtId="0" fontId="0" fillId="3" borderId="54" xfId="0" applyFill="1" applyBorder="1"/>
    <xf numFmtId="2" fontId="0" fillId="0" borderId="55" xfId="0" applyNumberFormat="1" applyBorder="1"/>
    <xf numFmtId="0" fontId="0" fillId="3" borderId="55" xfId="0" applyFill="1" applyBorder="1"/>
    <xf numFmtId="0" fontId="0" fillId="0" borderId="56" xfId="0" applyBorder="1"/>
    <xf numFmtId="0" fontId="0" fillId="0" borderId="35" xfId="0" applyBorder="1"/>
    <xf numFmtId="0" fontId="28" fillId="0" borderId="11" xfId="0" applyFont="1" applyBorder="1"/>
    <xf numFmtId="0" fontId="28" fillId="0" borderId="10" xfId="0" applyFont="1" applyBorder="1"/>
    <xf numFmtId="0" fontId="28" fillId="5" borderId="10" xfId="0" applyFont="1" applyFill="1" applyBorder="1" applyAlignment="1">
      <alignment horizontal="center" vertical="center"/>
    </xf>
    <xf numFmtId="0" fontId="28" fillId="20" borderId="12" xfId="0" applyFont="1" applyFill="1" applyBorder="1" applyAlignment="1">
      <alignment horizontal="center"/>
    </xf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3" borderId="10" xfId="0" applyFill="1" applyBorder="1"/>
    <xf numFmtId="0" fontId="0" fillId="0" borderId="10" xfId="0" applyBorder="1"/>
    <xf numFmtId="2" fontId="0" fillId="0" borderId="12" xfId="0" applyNumberFormat="1" applyBorder="1"/>
    <xf numFmtId="1" fontId="0" fillId="0" borderId="59" xfId="0" applyNumberFormat="1" applyBorder="1"/>
    <xf numFmtId="2" fontId="0" fillId="5" borderId="59" xfId="0" applyNumberFormat="1" applyFill="1" applyBorder="1"/>
    <xf numFmtId="0" fontId="0" fillId="3" borderId="59" xfId="0" applyFill="1" applyBorder="1"/>
    <xf numFmtId="2" fontId="0" fillId="0" borderId="58" xfId="0" applyNumberFormat="1" applyBorder="1"/>
    <xf numFmtId="0" fontId="0" fillId="3" borderId="58" xfId="0" applyFill="1" applyBorder="1"/>
    <xf numFmtId="0" fontId="0" fillId="0" borderId="60" xfId="0" applyBorder="1"/>
    <xf numFmtId="0" fontId="0" fillId="0" borderId="61" xfId="0" applyBorder="1"/>
    <xf numFmtId="0" fontId="0" fillId="3" borderId="6" xfId="0" applyFill="1" applyBorder="1"/>
    <xf numFmtId="0" fontId="0" fillId="0" borderId="6" xfId="0" applyBorder="1"/>
    <xf numFmtId="2" fontId="0" fillId="0" borderId="8" xfId="0" applyNumberFormat="1" applyBorder="1"/>
    <xf numFmtId="1" fontId="0" fillId="0" borderId="55" xfId="0" applyNumberFormat="1" applyBorder="1"/>
    <xf numFmtId="2" fontId="0" fillId="5" borderId="55" xfId="0" applyNumberFormat="1" applyFill="1" applyBorder="1"/>
    <xf numFmtId="0" fontId="28" fillId="2" borderId="10" xfId="0" applyFont="1" applyFill="1" applyBorder="1"/>
    <xf numFmtId="1" fontId="0" fillId="0" borderId="58" xfId="0" applyNumberFormat="1" applyBorder="1"/>
    <xf numFmtId="2" fontId="0" fillId="5" borderId="58" xfId="0" applyNumberFormat="1" applyFill="1" applyBorder="1"/>
    <xf numFmtId="0" fontId="28" fillId="0" borderId="6" xfId="0" applyFont="1" applyBorder="1"/>
    <xf numFmtId="1" fontId="0" fillId="0" borderId="6" xfId="0" applyNumberFormat="1" applyBorder="1"/>
    <xf numFmtId="2" fontId="28" fillId="0" borderId="0" xfId="0" applyNumberFormat="1" applyFont="1"/>
    <xf numFmtId="2" fontId="0" fillId="5" borderId="53" xfId="0" applyNumberFormat="1" applyFill="1" applyBorder="1"/>
    <xf numFmtId="1" fontId="0" fillId="0" borderId="56" xfId="0" applyNumberFormat="1" applyBorder="1"/>
    <xf numFmtId="0" fontId="28" fillId="0" borderId="56" xfId="0" applyFont="1" applyBorder="1"/>
    <xf numFmtId="0" fontId="28" fillId="0" borderId="13" xfId="0" applyFont="1" applyBorder="1"/>
    <xf numFmtId="0" fontId="28" fillId="5" borderId="0" xfId="0" applyFont="1" applyFill="1" applyAlignment="1">
      <alignment horizontal="center" vertical="center"/>
    </xf>
    <xf numFmtId="0" fontId="28" fillId="20" borderId="14" xfId="0" applyFont="1" applyFill="1" applyBorder="1" applyAlignment="1">
      <alignment horizontal="center"/>
    </xf>
    <xf numFmtId="0" fontId="0" fillId="0" borderId="16" xfId="0" applyBorder="1"/>
    <xf numFmtId="1" fontId="0" fillId="0" borderId="0" xfId="0" applyNumberFormat="1"/>
    <xf numFmtId="1" fontId="0" fillId="0" borderId="43" xfId="0" applyNumberFormat="1" applyBorder="1"/>
    <xf numFmtId="2" fontId="0" fillId="0" borderId="16" xfId="0" applyNumberFormat="1" applyBorder="1"/>
    <xf numFmtId="1" fontId="0" fillId="0" borderId="19" xfId="0" applyNumberFormat="1" applyBorder="1"/>
    <xf numFmtId="1" fontId="0" fillId="0" borderId="38" xfId="0" applyNumberFormat="1" applyBorder="1"/>
    <xf numFmtId="0" fontId="0" fillId="3" borderId="38" xfId="0" applyFill="1" applyBorder="1"/>
    <xf numFmtId="0" fontId="0" fillId="3" borderId="43" xfId="0" applyFill="1" applyBorder="1"/>
    <xf numFmtId="0" fontId="0" fillId="0" borderId="31" xfId="0" applyBorder="1"/>
    <xf numFmtId="0" fontId="28" fillId="0" borderId="19" xfId="0" applyFont="1" applyBorder="1"/>
    <xf numFmtId="2" fontId="0" fillId="5" borderId="16" xfId="0" applyNumberFormat="1" applyFill="1" applyBorder="1"/>
    <xf numFmtId="1" fontId="0" fillId="0" borderId="10" xfId="0" applyNumberFormat="1" applyBorder="1"/>
    <xf numFmtId="2" fontId="0" fillId="5" borderId="57" xfId="0" applyNumberFormat="1" applyFill="1" applyBorder="1"/>
    <xf numFmtId="1" fontId="0" fillId="0" borderId="61" xfId="0" applyNumberFormat="1" applyBorder="1"/>
    <xf numFmtId="0" fontId="28" fillId="0" borderId="61" xfId="0" applyFont="1" applyBorder="1"/>
    <xf numFmtId="2" fontId="0" fillId="0" borderId="43" xfId="0" applyNumberFormat="1" applyBorder="1"/>
    <xf numFmtId="0" fontId="0" fillId="0" borderId="19" xfId="0" applyBorder="1"/>
    <xf numFmtId="1" fontId="0" fillId="0" borderId="53" xfId="0" applyNumberFormat="1" applyBorder="1"/>
    <xf numFmtId="0" fontId="0" fillId="3" borderId="53" xfId="0" applyFill="1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1" fontId="0" fillId="0" borderId="57" xfId="0" applyNumberFormat="1" applyBorder="1"/>
    <xf numFmtId="0" fontId="0" fillId="3" borderId="57" xfId="0" applyFill="1" applyBorder="1"/>
    <xf numFmtId="0" fontId="0" fillId="0" borderId="12" xfId="0" applyBorder="1"/>
    <xf numFmtId="2" fontId="0" fillId="5" borderId="43" xfId="0" applyNumberFormat="1" applyFill="1" applyBorder="1"/>
    <xf numFmtId="1" fontId="0" fillId="0" borderId="16" xfId="0" applyNumberFormat="1" applyBorder="1"/>
    <xf numFmtId="0" fontId="0" fillId="0" borderId="47" xfId="0" applyBorder="1"/>
    <xf numFmtId="0" fontId="0" fillId="2" borderId="13" xfId="0" applyFill="1" applyBorder="1"/>
    <xf numFmtId="0" fontId="0" fillId="2" borderId="0" xfId="0" applyFill="1" applyAlignment="1">
      <alignment horizontal="center" vertical="center"/>
    </xf>
    <xf numFmtId="0" fontId="0" fillId="22" borderId="13" xfId="0" applyFill="1" applyBorder="1"/>
    <xf numFmtId="0" fontId="0" fillId="22" borderId="0" xfId="0" applyFill="1"/>
    <xf numFmtId="0" fontId="0" fillId="22" borderId="4" xfId="0" applyFill="1" applyBorder="1"/>
    <xf numFmtId="0" fontId="0" fillId="22" borderId="0" xfId="0" applyFill="1" applyAlignment="1">
      <alignment horizontal="center" vertical="center"/>
    </xf>
    <xf numFmtId="0" fontId="0" fillId="22" borderId="11" xfId="0" applyFill="1" applyBorder="1"/>
    <xf numFmtId="0" fontId="0" fillId="22" borderId="10" xfId="0" applyFill="1" applyBorder="1" applyAlignment="1">
      <alignment horizontal="center" vertical="center"/>
    </xf>
    <xf numFmtId="0" fontId="0" fillId="22" borderId="9" xfId="0" applyFill="1" applyBorder="1"/>
    <xf numFmtId="0" fontId="0" fillId="2" borderId="4" xfId="0" applyFill="1" applyBorder="1"/>
    <xf numFmtId="2" fontId="0" fillId="2" borderId="0" xfId="0" applyNumberFormat="1" applyFill="1" applyAlignment="1">
      <alignment horizontal="center" vertical="center"/>
    </xf>
    <xf numFmtId="0" fontId="0" fillId="2" borderId="11" xfId="0" applyFill="1" applyBorder="1"/>
    <xf numFmtId="0" fontId="0" fillId="2" borderId="10" xfId="0" applyFill="1" applyBorder="1" applyAlignment="1">
      <alignment horizontal="center" vertical="center"/>
    </xf>
    <xf numFmtId="0" fontId="0" fillId="2" borderId="9" xfId="0" applyFill="1" applyBorder="1"/>
    <xf numFmtId="0" fontId="0" fillId="13" borderId="13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13" xfId="0" applyFill="1" applyBorder="1"/>
    <xf numFmtId="0" fontId="0" fillId="13" borderId="4" xfId="0" applyFill="1" applyBorder="1" applyAlignment="1">
      <alignment horizontal="center" vertical="center"/>
    </xf>
    <xf numFmtId="0" fontId="0" fillId="13" borderId="11" xfId="0" applyFill="1" applyBorder="1"/>
    <xf numFmtId="0" fontId="0" fillId="13" borderId="9" xfId="0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0" fillId="0" borderId="13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 vertical="center" wrapText="1"/>
    </xf>
    <xf numFmtId="2" fontId="0" fillId="6" borderId="22" xfId="0" applyNumberFormat="1" applyFill="1" applyBorder="1" applyAlignment="1">
      <alignment horizontal="center" vertical="center" wrapText="1"/>
    </xf>
    <xf numFmtId="2" fontId="3" fillId="6" borderId="35" xfId="0" applyNumberFormat="1" applyFont="1" applyFill="1" applyBorder="1" applyAlignment="1">
      <alignment horizontal="center" vertical="center" wrapText="1"/>
    </xf>
    <xf numFmtId="2" fontId="0" fillId="6" borderId="3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13" borderId="13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4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2" fontId="3" fillId="6" borderId="8" xfId="0" applyNumberFormat="1" applyFont="1" applyFill="1" applyBorder="1" applyAlignment="1">
      <alignment horizontal="center" vertical="center"/>
    </xf>
    <xf numFmtId="2" fontId="0" fillId="6" borderId="12" xfId="0" applyNumberFormat="1" applyFill="1" applyBorder="1" applyAlignment="1">
      <alignment horizontal="center" vertical="center"/>
    </xf>
    <xf numFmtId="164" fontId="3" fillId="2" borderId="8" xfId="0" applyNumberFormat="1" applyFont="1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2" fillId="22" borderId="5" xfId="0" applyFont="1" applyFill="1" applyBorder="1" applyAlignment="1">
      <alignment horizontal="center" vertical="center"/>
    </xf>
    <xf numFmtId="0" fontId="2" fillId="22" borderId="6" xfId="0" applyFont="1" applyFill="1" applyBorder="1" applyAlignment="1">
      <alignment horizontal="center" vertical="center"/>
    </xf>
    <xf numFmtId="0" fontId="2" fillId="22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9" fontId="0" fillId="13" borderId="11" xfId="0" applyNumberFormat="1" applyFill="1" applyBorder="1" applyAlignment="1">
      <alignment horizontal="center"/>
    </xf>
    <xf numFmtId="9" fontId="0" fillId="13" borderId="10" xfId="0" applyNumberFormat="1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9" fontId="0" fillId="13" borderId="13" xfId="0" applyNumberFormat="1" applyFill="1" applyBorder="1" applyAlignment="1">
      <alignment horizontal="center"/>
    </xf>
    <xf numFmtId="9" fontId="0" fillId="13" borderId="0" xfId="0" applyNumberFormat="1" applyFill="1" applyAlignment="1">
      <alignment horizontal="center"/>
    </xf>
    <xf numFmtId="0" fontId="0" fillId="13" borderId="11" xfId="0" applyFill="1" applyBorder="1" applyAlignment="1">
      <alignment horizontal="center"/>
    </xf>
    <xf numFmtId="0" fontId="15" fillId="14" borderId="18" xfId="0" applyFont="1" applyFill="1" applyBorder="1" applyAlignment="1">
      <alignment horizontal="center" vertical="center" wrapText="1"/>
    </xf>
    <xf numFmtId="0" fontId="15" fillId="14" borderId="44" xfId="0" applyFont="1" applyFill="1" applyBorder="1" applyAlignment="1">
      <alignment horizontal="center" vertical="center" wrapText="1"/>
    </xf>
    <xf numFmtId="0" fontId="21" fillId="14" borderId="28" xfId="0" applyFont="1" applyFill="1" applyBorder="1" applyAlignment="1">
      <alignment horizontal="center" vertical="center" wrapText="1"/>
    </xf>
    <xf numFmtId="0" fontId="21" fillId="14" borderId="24" xfId="0" applyFont="1" applyFill="1" applyBorder="1" applyAlignment="1">
      <alignment horizontal="center" vertical="center" wrapText="1"/>
    </xf>
    <xf numFmtId="0" fontId="21" fillId="14" borderId="37" xfId="0" applyFont="1" applyFill="1" applyBorder="1" applyAlignment="1">
      <alignment horizontal="center" vertical="center" wrapText="1"/>
    </xf>
    <xf numFmtId="0" fontId="14" fillId="15" borderId="18" xfId="0" applyFont="1" applyFill="1" applyBorder="1" applyAlignment="1">
      <alignment horizontal="center" vertical="center" wrapText="1"/>
    </xf>
    <xf numFmtId="0" fontId="14" fillId="15" borderId="40" xfId="0" applyFont="1" applyFill="1" applyBorder="1" applyAlignment="1">
      <alignment horizontal="center" vertical="center" wrapText="1"/>
    </xf>
    <xf numFmtId="0" fontId="14" fillId="14" borderId="18" xfId="0" applyFont="1" applyFill="1" applyBorder="1" applyAlignment="1">
      <alignment horizontal="center" vertical="center" wrapText="1"/>
    </xf>
    <xf numFmtId="0" fontId="14" fillId="14" borderId="40" xfId="0" applyFont="1" applyFill="1" applyBorder="1" applyAlignment="1">
      <alignment horizontal="center" vertical="center" wrapText="1"/>
    </xf>
    <xf numFmtId="0" fontId="15" fillId="14" borderId="41" xfId="0" applyFont="1" applyFill="1" applyBorder="1" applyAlignment="1">
      <alignment horizontal="center" vertical="center" wrapText="1"/>
    </xf>
    <xf numFmtId="0" fontId="15" fillId="14" borderId="37" xfId="0" applyFont="1" applyFill="1" applyBorder="1" applyAlignment="1">
      <alignment horizontal="center" vertical="center" wrapText="1"/>
    </xf>
    <xf numFmtId="0" fontId="15" fillId="14" borderId="39" xfId="0" applyFont="1" applyFill="1" applyBorder="1" applyAlignment="1">
      <alignment horizontal="center" vertical="center" wrapText="1"/>
    </xf>
    <xf numFmtId="4" fontId="16" fillId="0" borderId="42" xfId="0" applyNumberFormat="1" applyFont="1" applyBorder="1" applyAlignment="1">
      <alignment horizontal="center" vertical="center" textRotation="90" wrapText="1"/>
    </xf>
    <xf numFmtId="4" fontId="16" fillId="0" borderId="43" xfId="0" applyNumberFormat="1" applyFont="1" applyBorder="1" applyAlignment="1">
      <alignment horizontal="center" vertical="center" textRotation="90" wrapText="1"/>
    </xf>
    <xf numFmtId="4" fontId="16" fillId="0" borderId="45" xfId="0" applyNumberFormat="1" applyFont="1" applyBorder="1" applyAlignment="1">
      <alignment horizontal="center" vertical="center" textRotation="90" wrapText="1"/>
    </xf>
    <xf numFmtId="4" fontId="16" fillId="0" borderId="46" xfId="0" applyNumberFormat="1" applyFont="1" applyBorder="1" applyAlignment="1">
      <alignment horizontal="center" vertical="center" textRotation="90" wrapText="1"/>
    </xf>
    <xf numFmtId="4" fontId="16" fillId="0" borderId="47" xfId="0" applyNumberFormat="1" applyFont="1" applyBorder="1" applyAlignment="1">
      <alignment horizontal="center" vertical="center" textRotation="90" wrapText="1"/>
    </xf>
    <xf numFmtId="4" fontId="16" fillId="0" borderId="17" xfId="0" applyNumberFormat="1" applyFont="1" applyBorder="1" applyAlignment="1">
      <alignment horizontal="left" vertical="center" wrapText="1"/>
    </xf>
    <xf numFmtId="4" fontId="16" fillId="0" borderId="39" xfId="0" applyNumberFormat="1" applyFont="1" applyBorder="1" applyAlignment="1">
      <alignment horizontal="left" vertical="center" wrapText="1"/>
    </xf>
    <xf numFmtId="4" fontId="14" fillId="0" borderId="17" xfId="0" applyNumberFormat="1" applyFont="1" applyBorder="1" applyAlignment="1">
      <alignment vertical="center" wrapText="1"/>
    </xf>
    <xf numFmtId="4" fontId="14" fillId="0" borderId="39" xfId="0" applyNumberFormat="1" applyFont="1" applyBorder="1" applyAlignment="1">
      <alignment vertical="center" wrapText="1"/>
    </xf>
    <xf numFmtId="0" fontId="0" fillId="21" borderId="0" xfId="0" applyFill="1" applyAlignment="1">
      <alignment horizontal="center"/>
    </xf>
    <xf numFmtId="0" fontId="25" fillId="17" borderId="42" xfId="0" applyFont="1" applyFill="1" applyBorder="1" applyAlignment="1">
      <alignment horizontal="center" vertical="center"/>
    </xf>
    <xf numFmtId="0" fontId="25" fillId="17" borderId="43" xfId="0" applyFont="1" applyFill="1" applyBorder="1" applyAlignment="1">
      <alignment horizontal="center" vertical="center"/>
    </xf>
    <xf numFmtId="0" fontId="25" fillId="17" borderId="15" xfId="0" applyFont="1" applyFill="1" applyBorder="1" applyAlignment="1">
      <alignment horizontal="center" vertical="center" wrapText="1"/>
    </xf>
    <xf numFmtId="0" fontId="25" fillId="17" borderId="16" xfId="0" applyFont="1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25" fillId="17" borderId="28" xfId="0" applyFont="1" applyFill="1" applyBorder="1" applyAlignment="1">
      <alignment horizontal="center" vertical="center" wrapText="1"/>
    </xf>
    <xf numFmtId="0" fontId="26" fillId="18" borderId="18" xfId="0" applyFont="1" applyFill="1" applyBorder="1" applyAlignment="1">
      <alignment horizontal="center" vertical="center"/>
    </xf>
    <xf numFmtId="0" fontId="26" fillId="18" borderId="44" xfId="0" applyFont="1" applyFill="1" applyBorder="1" applyAlignment="1">
      <alignment horizontal="center" vertical="center"/>
    </xf>
    <xf numFmtId="0" fontId="26" fillId="18" borderId="40" xfId="0" applyFont="1" applyFill="1" applyBorder="1" applyAlignment="1">
      <alignment horizontal="center" vertical="center"/>
    </xf>
    <xf numFmtId="0" fontId="26" fillId="18" borderId="15" xfId="0" applyFont="1" applyFill="1" applyBorder="1" applyAlignment="1">
      <alignment horizontal="center" vertical="center"/>
    </xf>
    <xf numFmtId="0" fontId="26" fillId="18" borderId="37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jorgel_sanchez_upct_es/Documents/Mis%20documentos1/PROYECTOS%20y%20ARTICULOS%2083/INBESTSOIL/Deliverable/C&#225;culos%20no%20market.xlsx" TargetMode="External"/><Relationship Id="rId2" Type="http://schemas.openxmlformats.org/officeDocument/2006/relationships/externalLinkPath" Target="https://upct-my.sharepoint.com/personal/jorgel_sanchez_upct_es/Documents/Mis%20documentos1/PROYECTOS%20y%20ARTICULOS%2083/INBESTSOIL/Deliverable/C&#225;culos%20no%20market.xlsx" TargetMode="External"/><Relationship Id="rId1" Type="http://schemas.openxmlformats.org/officeDocument/2006/relationships/externalLinkPath" Target="/personal/jorgel_sanchez_upct_es/Documents/Mis%20documentos1/PROYECTOS%20y%20ARTICULOS%2083/INBESTSOIL/Deliverable/C&#225;culos%20no%20mark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sv."/>
      <sheetName val="Desv. (2)"/>
      <sheetName val="LH1"/>
      <sheetName val="LH1 (2)"/>
      <sheetName val="LH2"/>
      <sheetName val="LH3"/>
      <sheetName val="LH4"/>
      <sheetName val="LH5"/>
      <sheetName val="LH6"/>
      <sheetName val="LH7"/>
      <sheetName val="LL1"/>
      <sheetName val="LL2"/>
    </sheetNames>
    <sheetDataSet>
      <sheetData sheetId="0"/>
      <sheetData sheetId="1"/>
      <sheetData sheetId="2">
        <row r="7">
          <cell r="H7">
            <v>91</v>
          </cell>
          <cell r="J7">
            <v>100</v>
          </cell>
        </row>
        <row r="8">
          <cell r="H8">
            <v>48</v>
          </cell>
          <cell r="J8">
            <v>32</v>
          </cell>
        </row>
        <row r="10">
          <cell r="H10">
            <v>0</v>
          </cell>
          <cell r="J10">
            <v>0</v>
          </cell>
        </row>
        <row r="12">
          <cell r="H12">
            <v>1.2</v>
          </cell>
          <cell r="J12">
            <v>1.5</v>
          </cell>
        </row>
        <row r="13">
          <cell r="H13">
            <v>190</v>
          </cell>
          <cell r="J13">
            <v>132</v>
          </cell>
        </row>
        <row r="14">
          <cell r="H14">
            <v>103.41</v>
          </cell>
          <cell r="J14">
            <v>100.935</v>
          </cell>
        </row>
        <row r="15">
          <cell r="H15">
            <v>663.34500000000003</v>
          </cell>
          <cell r="J15">
            <v>830.47499999999991</v>
          </cell>
        </row>
        <row r="16">
          <cell r="H16">
            <v>89.50500000000001</v>
          </cell>
          <cell r="J16">
            <v>161.32499999999999</v>
          </cell>
        </row>
        <row r="17">
          <cell r="H17">
            <v>6.138749999999999</v>
          </cell>
          <cell r="J17">
            <v>7.9162499999999998</v>
          </cell>
        </row>
        <row r="18">
          <cell r="H18">
            <v>419</v>
          </cell>
          <cell r="J18">
            <v>507</v>
          </cell>
        </row>
        <row r="20">
          <cell r="H20">
            <v>64</v>
          </cell>
          <cell r="J20">
            <v>70</v>
          </cell>
        </row>
        <row r="21">
          <cell r="H21">
            <v>36</v>
          </cell>
          <cell r="J21">
            <v>30</v>
          </cell>
        </row>
        <row r="22">
          <cell r="H22">
            <v>1</v>
          </cell>
          <cell r="J22">
            <v>1</v>
          </cell>
        </row>
        <row r="23">
          <cell r="H23">
            <v>3</v>
          </cell>
          <cell r="J23">
            <v>4</v>
          </cell>
        </row>
        <row r="24">
          <cell r="H24">
            <v>30</v>
          </cell>
          <cell r="J24">
            <v>30</v>
          </cell>
        </row>
        <row r="25">
          <cell r="H25">
            <v>2</v>
          </cell>
          <cell r="J25">
            <v>10</v>
          </cell>
        </row>
        <row r="26">
          <cell r="H26">
            <v>1</v>
          </cell>
          <cell r="J26">
            <v>2</v>
          </cell>
        </row>
      </sheetData>
      <sheetData sheetId="3"/>
      <sheetData sheetId="4">
        <row r="5">
          <cell r="H5">
            <v>0</v>
          </cell>
          <cell r="J5">
            <v>23800</v>
          </cell>
        </row>
        <row r="10">
          <cell r="H10">
            <v>0</v>
          </cell>
          <cell r="J10">
            <v>0</v>
          </cell>
        </row>
        <row r="12">
          <cell r="H12">
            <v>0.01</v>
          </cell>
          <cell r="J12">
            <v>0.49</v>
          </cell>
        </row>
        <row r="13">
          <cell r="H13">
            <v>0</v>
          </cell>
          <cell r="J13">
            <v>34.5</v>
          </cell>
        </row>
        <row r="14">
          <cell r="H14">
            <v>12.105</v>
          </cell>
          <cell r="J14">
            <v>102.375</v>
          </cell>
        </row>
        <row r="15">
          <cell r="H15">
            <v>0</v>
          </cell>
          <cell r="J15">
            <v>0</v>
          </cell>
        </row>
        <row r="16">
          <cell r="H16">
            <v>63</v>
          </cell>
          <cell r="J16">
            <v>99</v>
          </cell>
        </row>
        <row r="17">
          <cell r="H17">
            <v>43061</v>
          </cell>
          <cell r="J17">
            <v>37067</v>
          </cell>
        </row>
        <row r="18">
          <cell r="H18">
            <v>300</v>
          </cell>
          <cell r="J18">
            <v>313</v>
          </cell>
        </row>
        <row r="20">
          <cell r="H20">
            <v>100</v>
          </cell>
          <cell r="J20">
            <v>38</v>
          </cell>
        </row>
        <row r="21">
          <cell r="H21">
            <v>0</v>
          </cell>
          <cell r="J21">
            <v>62</v>
          </cell>
        </row>
        <row r="22">
          <cell r="H22">
            <v>1</v>
          </cell>
          <cell r="J22">
            <v>1</v>
          </cell>
        </row>
        <row r="23">
          <cell r="H23">
            <v>3</v>
          </cell>
          <cell r="J23">
            <v>4</v>
          </cell>
        </row>
        <row r="24">
          <cell r="H24">
            <v>2043</v>
          </cell>
          <cell r="J24">
            <v>4717</v>
          </cell>
        </row>
        <row r="25">
          <cell r="H25">
            <v>10</v>
          </cell>
          <cell r="J25">
            <v>8</v>
          </cell>
        </row>
        <row r="26">
          <cell r="H26">
            <v>0</v>
          </cell>
          <cell r="J26">
            <v>0.15110000000000001</v>
          </cell>
        </row>
      </sheetData>
      <sheetData sheetId="5">
        <row r="7">
          <cell r="L7">
            <v>592</v>
          </cell>
        </row>
        <row r="8">
          <cell r="L8">
            <v>184</v>
          </cell>
        </row>
      </sheetData>
      <sheetData sheetId="6">
        <row r="8">
          <cell r="L8">
            <v>127</v>
          </cell>
          <cell r="P8">
            <v>157</v>
          </cell>
          <cell r="T8">
            <v>82</v>
          </cell>
          <cell r="X8">
            <v>80</v>
          </cell>
        </row>
        <row r="9">
          <cell r="L9">
            <v>22.46</v>
          </cell>
          <cell r="P9">
            <v>35.050000000000004</v>
          </cell>
          <cell r="T9">
            <v>-7.8699999999999974</v>
          </cell>
          <cell r="X9">
            <v>12.39</v>
          </cell>
        </row>
      </sheetData>
      <sheetData sheetId="7">
        <row r="8">
          <cell r="L8">
            <v>423</v>
          </cell>
          <cell r="P8">
            <v>205</v>
          </cell>
          <cell r="T8">
            <v>88</v>
          </cell>
        </row>
        <row r="9">
          <cell r="L9">
            <v>17.140000000000008</v>
          </cell>
          <cell r="P9">
            <v>24.71</v>
          </cell>
          <cell r="T9">
            <v>7.0000000000000071</v>
          </cell>
        </row>
      </sheetData>
      <sheetData sheetId="8">
        <row r="7">
          <cell r="L7">
            <v>89</v>
          </cell>
        </row>
        <row r="8">
          <cell r="L8">
            <v>515</v>
          </cell>
        </row>
      </sheetData>
      <sheetData sheetId="9">
        <row r="7">
          <cell r="L7">
            <v>60</v>
          </cell>
        </row>
        <row r="8">
          <cell r="L8">
            <v>18</v>
          </cell>
        </row>
      </sheetData>
      <sheetData sheetId="10">
        <row r="8">
          <cell r="L8">
            <v>27</v>
          </cell>
          <cell r="P8">
            <v>528</v>
          </cell>
        </row>
        <row r="9">
          <cell r="L9">
            <v>11.99</v>
          </cell>
          <cell r="P9">
            <v>22.21</v>
          </cell>
        </row>
      </sheetData>
      <sheetData sheetId="11">
        <row r="7">
          <cell r="L7">
            <v>437</v>
          </cell>
        </row>
        <row r="8">
          <cell r="L8">
            <v>-6.769999999999996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ÁNCHEZ NAVARRO, JORGE LUIS" id="{C864C6DF-E2A3-4C0C-8190-9425B3EE3B0D}" userId="S::jorgel.sanchez@upct.es::86ad7547-4635-427d-9902-630315a88e8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5" dT="2026-05-29T08:52:21.43" personId="{C864C6DF-E2A3-4C0C-8190-9425B3EE3B0D}" id="{B7D02980-3D8F-47C0-89AA-C656C6D1DD8A}">
    <text xml:space="preserve">Te paso la fórmula del índice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3EB3-8A82-4F19-884B-6F0EFD25F315}">
  <dimension ref="C1:CH44"/>
  <sheetViews>
    <sheetView zoomScaleNormal="100" workbookViewId="0">
      <selection activeCell="E26" sqref="E26"/>
    </sheetView>
  </sheetViews>
  <sheetFormatPr baseColWidth="10" defaultRowHeight="15" x14ac:dyDescent="0.25"/>
  <cols>
    <col min="1" max="1" width="3.85546875" customWidth="1"/>
    <col min="2" max="2" width="2.85546875" customWidth="1"/>
    <col min="3" max="3" width="39.28515625" customWidth="1"/>
    <col min="4" max="4" width="20.5703125" customWidth="1"/>
    <col min="5" max="5" width="7.85546875" customWidth="1"/>
    <col min="6" max="6" width="8.7109375" customWidth="1"/>
    <col min="7" max="7" width="10.28515625" bestFit="1" customWidth="1"/>
    <col min="8" max="8" width="10.42578125" bestFit="1" customWidth="1"/>
    <col min="9" max="9" width="12" customWidth="1"/>
    <col min="11" max="11" width="9.7109375" customWidth="1"/>
    <col min="12" max="12" width="7.5703125" customWidth="1"/>
    <col min="13" max="13" width="14.5703125" customWidth="1"/>
    <col min="14" max="14" width="13" customWidth="1"/>
    <col min="15" max="15" width="11.42578125" customWidth="1"/>
    <col min="16" max="16" width="9.28515625" customWidth="1"/>
    <col min="17" max="17" width="6.7109375" customWidth="1"/>
    <col min="18" max="18" width="14.7109375" customWidth="1"/>
    <col min="22" max="22" width="9.28515625" customWidth="1"/>
    <col min="23" max="23" width="14.7109375" customWidth="1"/>
    <col min="27" max="27" width="9.28515625" customWidth="1"/>
    <col min="28" max="28" width="14.7109375" customWidth="1"/>
    <col min="32" max="32" width="9.28515625" customWidth="1"/>
    <col min="33" max="33" width="14.7109375" customWidth="1"/>
    <col min="37" max="37" width="9.28515625" customWidth="1"/>
    <col min="38" max="38" width="14.7109375" customWidth="1"/>
    <col min="42" max="42" width="9.28515625" customWidth="1"/>
    <col min="43" max="43" width="14.7109375" customWidth="1"/>
    <col min="47" max="47" width="9.28515625" customWidth="1"/>
    <col min="48" max="48" width="14.7109375" customWidth="1"/>
    <col min="52" max="52" width="9.28515625" customWidth="1"/>
    <col min="53" max="53" width="14.7109375" customWidth="1"/>
    <col min="57" max="57" width="9.28515625" customWidth="1"/>
    <col min="58" max="58" width="14.7109375" customWidth="1"/>
    <col min="62" max="62" width="9.28515625" customWidth="1"/>
    <col min="63" max="63" width="14.7109375" customWidth="1"/>
    <col min="67" max="67" width="9.28515625" customWidth="1"/>
    <col min="68" max="68" width="14.7109375" customWidth="1"/>
    <col min="72" max="72" width="9.28515625" customWidth="1"/>
    <col min="73" max="73" width="14.7109375" customWidth="1"/>
    <col min="77" max="77" width="9.28515625" customWidth="1"/>
    <col min="78" max="78" width="14.7109375" customWidth="1"/>
    <col min="82" max="82" width="9.28515625" customWidth="1"/>
    <col min="83" max="83" width="14.7109375" customWidth="1"/>
  </cols>
  <sheetData>
    <row r="1" spans="3:86" x14ac:dyDescent="0.25">
      <c r="G1" s="352"/>
      <c r="H1" s="352"/>
      <c r="M1" s="333" t="s">
        <v>0</v>
      </c>
      <c r="N1" s="334"/>
      <c r="O1" s="334"/>
      <c r="P1" s="335"/>
      <c r="Q1" s="1"/>
      <c r="R1" s="333" t="s">
        <v>1</v>
      </c>
      <c r="S1" s="334"/>
      <c r="T1" s="334"/>
      <c r="U1" s="335"/>
      <c r="V1" s="1"/>
      <c r="W1" s="333" t="s">
        <v>2</v>
      </c>
      <c r="X1" s="334"/>
      <c r="Y1" s="334"/>
      <c r="Z1" s="335"/>
      <c r="AA1" s="1"/>
      <c r="AB1" s="333" t="s">
        <v>3</v>
      </c>
      <c r="AC1" s="334"/>
      <c r="AD1" s="334"/>
      <c r="AE1" s="335"/>
      <c r="AF1" s="1"/>
      <c r="AG1" s="333" t="s">
        <v>4</v>
      </c>
      <c r="AH1" s="334"/>
      <c r="AI1" s="334"/>
      <c r="AJ1" s="335"/>
      <c r="AK1" s="1"/>
      <c r="AL1" s="333" t="s">
        <v>5</v>
      </c>
      <c r="AM1" s="334"/>
      <c r="AN1" s="334"/>
      <c r="AO1" s="335"/>
      <c r="AP1" s="1"/>
      <c r="AQ1" s="333" t="s">
        <v>6</v>
      </c>
      <c r="AR1" s="334"/>
      <c r="AS1" s="334"/>
      <c r="AT1" s="335"/>
      <c r="AU1" s="1"/>
      <c r="AV1" s="333" t="s">
        <v>7</v>
      </c>
      <c r="AW1" s="334"/>
      <c r="AX1" s="334"/>
      <c r="AY1" s="335"/>
      <c r="AZ1" s="1"/>
      <c r="BA1" s="333" t="s">
        <v>8</v>
      </c>
      <c r="BB1" s="334"/>
      <c r="BC1" s="334"/>
      <c r="BD1" s="335"/>
      <c r="BE1" s="1"/>
      <c r="BF1" s="333" t="s">
        <v>9</v>
      </c>
      <c r="BG1" s="334"/>
      <c r="BH1" s="334"/>
      <c r="BI1" s="335"/>
      <c r="BJ1" s="1"/>
      <c r="BK1" s="333" t="s">
        <v>10</v>
      </c>
      <c r="BL1" s="334"/>
      <c r="BM1" s="334"/>
      <c r="BN1" s="335"/>
      <c r="BO1" s="1"/>
      <c r="BP1" s="333" t="s">
        <v>11</v>
      </c>
      <c r="BQ1" s="334"/>
      <c r="BR1" s="334"/>
      <c r="BS1" s="335"/>
      <c r="BT1" s="1"/>
      <c r="BU1" s="333" t="s">
        <v>12</v>
      </c>
      <c r="BV1" s="334"/>
      <c r="BW1" s="334"/>
      <c r="BX1" s="335"/>
      <c r="BY1" s="1"/>
      <c r="BZ1" s="333" t="s">
        <v>13</v>
      </c>
      <c r="CA1" s="334"/>
      <c r="CB1" s="334"/>
      <c r="CC1" s="335"/>
      <c r="CD1" s="1"/>
      <c r="CE1" s="333" t="s">
        <v>14</v>
      </c>
      <c r="CF1" s="334"/>
      <c r="CG1" s="334"/>
      <c r="CH1" s="336"/>
    </row>
    <row r="2" spans="3:86" ht="15" customHeight="1" x14ac:dyDescent="0.25">
      <c r="F2" s="64"/>
      <c r="G2" s="353" t="s">
        <v>118</v>
      </c>
      <c r="H2" s="354"/>
      <c r="I2" s="3"/>
      <c r="J2" s="350" t="s">
        <v>19</v>
      </c>
      <c r="K2" s="351"/>
      <c r="L2" s="4"/>
      <c r="M2" s="350" t="s">
        <v>56</v>
      </c>
      <c r="N2" s="351"/>
      <c r="O2" s="5"/>
      <c r="P2" s="337" t="s">
        <v>15</v>
      </c>
      <c r="Q2" s="6"/>
      <c r="R2" s="350" t="s">
        <v>56</v>
      </c>
      <c r="S2" s="351"/>
      <c r="T2" s="5"/>
      <c r="U2" s="337" t="s">
        <v>15</v>
      </c>
      <c r="V2" s="6"/>
      <c r="W2" s="350" t="s">
        <v>56</v>
      </c>
      <c r="X2" s="351"/>
      <c r="Y2" s="5"/>
      <c r="Z2" s="337" t="s">
        <v>15</v>
      </c>
      <c r="AA2" s="6"/>
      <c r="AB2" s="350" t="s">
        <v>56</v>
      </c>
      <c r="AC2" s="351"/>
      <c r="AD2" s="5"/>
      <c r="AE2" s="337" t="s">
        <v>15</v>
      </c>
      <c r="AF2" s="6"/>
      <c r="AG2" s="350" t="s">
        <v>56</v>
      </c>
      <c r="AH2" s="351"/>
      <c r="AI2" s="5"/>
      <c r="AJ2" s="337" t="s">
        <v>15</v>
      </c>
      <c r="AK2" s="6"/>
      <c r="AL2" s="350" t="s">
        <v>56</v>
      </c>
      <c r="AM2" s="351"/>
      <c r="AN2" s="5"/>
      <c r="AO2" s="337" t="s">
        <v>15</v>
      </c>
      <c r="AP2" s="6"/>
      <c r="AQ2" s="350" t="s">
        <v>56</v>
      </c>
      <c r="AR2" s="351"/>
      <c r="AS2" s="5"/>
      <c r="AT2" s="337" t="s">
        <v>15</v>
      </c>
      <c r="AU2" s="6"/>
      <c r="AV2" s="350" t="s">
        <v>56</v>
      </c>
      <c r="AW2" s="351"/>
      <c r="AX2" s="5"/>
      <c r="AY2" s="337" t="s">
        <v>15</v>
      </c>
      <c r="AZ2" s="6"/>
      <c r="BA2" s="350" t="s">
        <v>56</v>
      </c>
      <c r="BB2" s="351"/>
      <c r="BC2" s="5"/>
      <c r="BD2" s="337" t="s">
        <v>15</v>
      </c>
      <c r="BE2" s="6"/>
      <c r="BF2" s="350" t="s">
        <v>56</v>
      </c>
      <c r="BG2" s="351"/>
      <c r="BH2" s="5"/>
      <c r="BI2" s="337" t="s">
        <v>15</v>
      </c>
      <c r="BJ2" s="6"/>
      <c r="BK2" s="350" t="s">
        <v>56</v>
      </c>
      <c r="BL2" s="351"/>
      <c r="BM2" s="5"/>
      <c r="BN2" s="337" t="s">
        <v>15</v>
      </c>
      <c r="BO2" s="6"/>
      <c r="BP2" s="350" t="s">
        <v>56</v>
      </c>
      <c r="BQ2" s="351"/>
      <c r="BR2" s="5"/>
      <c r="BS2" s="337" t="s">
        <v>15</v>
      </c>
      <c r="BT2" s="6"/>
      <c r="BU2" s="350" t="s">
        <v>56</v>
      </c>
      <c r="BV2" s="351"/>
      <c r="BW2" s="5"/>
      <c r="BX2" s="337" t="s">
        <v>15</v>
      </c>
      <c r="BY2" s="6"/>
      <c r="BZ2" s="350" t="s">
        <v>56</v>
      </c>
      <c r="CA2" s="351"/>
      <c r="CB2" s="5"/>
      <c r="CC2" s="337" t="s">
        <v>15</v>
      </c>
      <c r="CD2" s="6"/>
      <c r="CE2" s="350" t="s">
        <v>56</v>
      </c>
      <c r="CF2" s="351"/>
      <c r="CG2" s="5"/>
      <c r="CH2" s="339" t="s">
        <v>15</v>
      </c>
    </row>
    <row r="3" spans="3:86" ht="90.75" thickBot="1" x14ac:dyDescent="0.3">
      <c r="D3" s="66" t="s">
        <v>221</v>
      </c>
      <c r="E3" s="67" t="s">
        <v>20</v>
      </c>
      <c r="F3" s="68" t="s">
        <v>21</v>
      </c>
      <c r="G3" s="73" t="s">
        <v>222</v>
      </c>
      <c r="H3" s="74" t="s">
        <v>223</v>
      </c>
      <c r="I3" s="75" t="s">
        <v>18</v>
      </c>
      <c r="J3" s="70" t="s">
        <v>16</v>
      </c>
      <c r="K3" s="71" t="s">
        <v>17</v>
      </c>
      <c r="L3" s="71"/>
      <c r="M3" s="70" t="s">
        <v>16</v>
      </c>
      <c r="N3" s="71" t="s">
        <v>17</v>
      </c>
      <c r="O3" s="72" t="s">
        <v>57</v>
      </c>
      <c r="P3" s="338"/>
      <c r="Q3" s="69"/>
      <c r="R3" s="70" t="s">
        <v>16</v>
      </c>
      <c r="S3" s="71" t="s">
        <v>17</v>
      </c>
      <c r="T3" s="72" t="s">
        <v>57</v>
      </c>
      <c r="U3" s="338"/>
      <c r="V3" s="69"/>
      <c r="W3" s="70" t="s">
        <v>16</v>
      </c>
      <c r="X3" s="71" t="s">
        <v>17</v>
      </c>
      <c r="Y3" s="72" t="s">
        <v>57</v>
      </c>
      <c r="Z3" s="338"/>
      <c r="AA3" s="69"/>
      <c r="AB3" s="70" t="s">
        <v>16</v>
      </c>
      <c r="AC3" s="71" t="s">
        <v>17</v>
      </c>
      <c r="AD3" s="72" t="s">
        <v>57</v>
      </c>
      <c r="AE3" s="338"/>
      <c r="AF3" s="69"/>
      <c r="AG3" s="70" t="s">
        <v>16</v>
      </c>
      <c r="AH3" s="71" t="s">
        <v>17</v>
      </c>
      <c r="AI3" s="72" t="s">
        <v>57</v>
      </c>
      <c r="AJ3" s="338"/>
      <c r="AK3" s="69"/>
      <c r="AL3" s="70" t="s">
        <v>16</v>
      </c>
      <c r="AM3" s="71" t="s">
        <v>17</v>
      </c>
      <c r="AN3" s="72" t="s">
        <v>57</v>
      </c>
      <c r="AO3" s="338"/>
      <c r="AP3" s="69"/>
      <c r="AQ3" s="70" t="s">
        <v>16</v>
      </c>
      <c r="AR3" s="71" t="s">
        <v>17</v>
      </c>
      <c r="AS3" s="72" t="s">
        <v>57</v>
      </c>
      <c r="AT3" s="338"/>
      <c r="AU3" s="69"/>
      <c r="AV3" s="70" t="s">
        <v>16</v>
      </c>
      <c r="AW3" s="71" t="s">
        <v>17</v>
      </c>
      <c r="AX3" s="72" t="s">
        <v>57</v>
      </c>
      <c r="AY3" s="338"/>
      <c r="AZ3" s="69"/>
      <c r="BA3" s="70" t="s">
        <v>16</v>
      </c>
      <c r="BB3" s="71" t="s">
        <v>17</v>
      </c>
      <c r="BC3" s="72" t="s">
        <v>57</v>
      </c>
      <c r="BD3" s="338"/>
      <c r="BE3" s="69"/>
      <c r="BF3" s="70" t="s">
        <v>16</v>
      </c>
      <c r="BG3" s="71" t="s">
        <v>17</v>
      </c>
      <c r="BH3" s="72" t="s">
        <v>57</v>
      </c>
      <c r="BI3" s="338"/>
      <c r="BJ3" s="69"/>
      <c r="BK3" s="70" t="s">
        <v>16</v>
      </c>
      <c r="BL3" s="71" t="s">
        <v>17</v>
      </c>
      <c r="BM3" s="72" t="s">
        <v>57</v>
      </c>
      <c r="BN3" s="338"/>
      <c r="BO3" s="69"/>
      <c r="BP3" s="70" t="s">
        <v>16</v>
      </c>
      <c r="BQ3" s="71" t="s">
        <v>17</v>
      </c>
      <c r="BR3" s="72" t="s">
        <v>57</v>
      </c>
      <c r="BS3" s="338"/>
      <c r="BT3" s="69"/>
      <c r="BU3" s="70" t="s">
        <v>16</v>
      </c>
      <c r="BV3" s="71" t="s">
        <v>17</v>
      </c>
      <c r="BW3" s="72" t="s">
        <v>57</v>
      </c>
      <c r="BX3" s="338"/>
      <c r="BY3" s="69"/>
      <c r="BZ3" s="70" t="s">
        <v>16</v>
      </c>
      <c r="CA3" s="71" t="s">
        <v>17</v>
      </c>
      <c r="CB3" s="72" t="s">
        <v>57</v>
      </c>
      <c r="CC3" s="338"/>
      <c r="CD3" s="69"/>
      <c r="CE3" s="70" t="s">
        <v>16</v>
      </c>
      <c r="CF3" s="71" t="s">
        <v>17</v>
      </c>
      <c r="CG3" s="72" t="s">
        <v>57</v>
      </c>
      <c r="CH3" s="340"/>
    </row>
    <row r="4" spans="3:86" s="22" customFormat="1" x14ac:dyDescent="0.25">
      <c r="C4" s="18" t="s">
        <v>22</v>
      </c>
      <c r="D4" s="19"/>
      <c r="E4" s="53"/>
      <c r="F4" s="23"/>
      <c r="G4" s="20"/>
      <c r="H4" s="21"/>
      <c r="I4" s="20"/>
      <c r="J4" s="19"/>
      <c r="K4" s="21"/>
      <c r="L4" s="21"/>
      <c r="M4" s="21"/>
      <c r="N4" s="21"/>
      <c r="P4" s="23"/>
      <c r="Q4" s="24"/>
      <c r="R4" s="21"/>
      <c r="S4" s="21"/>
      <c r="T4" s="21"/>
      <c r="U4" s="23"/>
      <c r="V4" s="24"/>
      <c r="W4" s="21"/>
      <c r="X4" s="21"/>
      <c r="Y4" s="21"/>
      <c r="Z4" s="23"/>
      <c r="AA4" s="24"/>
      <c r="AB4" s="21"/>
      <c r="AC4" s="21"/>
      <c r="AD4" s="21"/>
      <c r="AE4" s="23"/>
      <c r="AF4" s="24"/>
      <c r="AG4" s="21"/>
      <c r="AH4" s="21"/>
      <c r="AI4" s="21"/>
      <c r="AJ4" s="23"/>
      <c r="AK4" s="24"/>
      <c r="AL4" s="21"/>
      <c r="AM4" s="21"/>
      <c r="AN4" s="21"/>
      <c r="AO4" s="23"/>
      <c r="AP4" s="24"/>
      <c r="AQ4" s="21"/>
      <c r="AR4" s="21"/>
      <c r="AS4" s="21"/>
      <c r="AT4" s="23"/>
      <c r="AU4" s="24"/>
      <c r="AV4" s="21"/>
      <c r="AW4" s="21"/>
      <c r="AX4" s="21"/>
      <c r="AY4" s="23"/>
      <c r="AZ4" s="24"/>
      <c r="BA4" s="21"/>
      <c r="BB4" s="21"/>
      <c r="BC4" s="21"/>
      <c r="BD4" s="23"/>
      <c r="BE4" s="24"/>
      <c r="BF4" s="21"/>
      <c r="BG4" s="21"/>
      <c r="BH4" s="21"/>
      <c r="BI4" s="23"/>
      <c r="BJ4" s="24"/>
      <c r="BK4" s="21"/>
      <c r="BL4" s="21"/>
      <c r="BM4" s="21"/>
      <c r="BN4" s="23"/>
      <c r="BO4" s="24"/>
      <c r="BP4" s="21"/>
      <c r="BQ4" s="21"/>
      <c r="BR4" s="21"/>
      <c r="BS4" s="23"/>
      <c r="BT4" s="24"/>
      <c r="BU4" s="21"/>
      <c r="BV4" s="21"/>
      <c r="BW4" s="21"/>
      <c r="BX4" s="23"/>
      <c r="BY4" s="24"/>
      <c r="BZ4" s="21"/>
      <c r="CA4" s="21"/>
      <c r="CB4" s="21"/>
      <c r="CC4" s="23"/>
      <c r="CD4" s="24"/>
      <c r="CE4" s="21"/>
      <c r="CF4" s="21"/>
      <c r="CG4" s="21"/>
      <c r="CH4" s="86"/>
    </row>
    <row r="5" spans="3:86" s="22" customFormat="1" ht="17.25" customHeight="1" x14ac:dyDescent="0.25">
      <c r="C5" s="65" t="s">
        <v>23</v>
      </c>
      <c r="D5" s="19">
        <v>0.17399999999999999</v>
      </c>
      <c r="E5" s="53">
        <v>11</v>
      </c>
      <c r="F5" s="23">
        <v>0.504</v>
      </c>
      <c r="G5" s="20">
        <v>4.8999999999999998E-4</v>
      </c>
      <c r="H5" s="21">
        <v>1.6890000000000001</v>
      </c>
      <c r="I5" s="20">
        <f>_xlfn.T.INV.2T(0.05,(E5-1))</f>
        <v>2.2281388519862744</v>
      </c>
      <c r="J5" s="19">
        <f>IF(($D5-$I5*$F5/SQRT($E5))&gt;0,($D5-$I5*$F5/SQRT($E5)),0)</f>
        <v>0</v>
      </c>
      <c r="K5" s="19">
        <f>$D5+$I5*$F5/SQRT($E5)</f>
        <v>0.51259180714884145</v>
      </c>
      <c r="L5" s="19"/>
      <c r="M5" s="19">
        <f>$J$5*P5</f>
        <v>0</v>
      </c>
      <c r="N5" s="19">
        <f>$K$5*P5</f>
        <v>0.51259180714884145</v>
      </c>
      <c r="O5" s="17"/>
      <c r="P5" s="23">
        <v>1</v>
      </c>
      <c r="Q5" s="25"/>
      <c r="R5" s="19">
        <f>MIN($J5*$U5,$K5*$U5)</f>
        <v>0</v>
      </c>
      <c r="S5" s="19">
        <f>MAX($J5*$U5,$K5*$U5)</f>
        <v>12199.685010142426</v>
      </c>
      <c r="T5" s="19">
        <v>10.234</v>
      </c>
      <c r="U5" s="23">
        <f>[1]LH2!$J5-[1]LH2!$H5</f>
        <v>23800</v>
      </c>
      <c r="V5" s="25"/>
      <c r="W5" s="19">
        <f>MIN($J5*Z5,$K5*Z5)</f>
        <v>0</v>
      </c>
      <c r="X5" s="19">
        <f>MAX($J5*Z5,$K5*Z5)</f>
        <v>28192.54939318628</v>
      </c>
      <c r="Y5" s="19"/>
      <c r="Z5" s="23">
        <v>55000</v>
      </c>
      <c r="AA5" s="25"/>
      <c r="AB5" s="19">
        <f>MIN($J5*AE5,$K5*AE5)</f>
        <v>0</v>
      </c>
      <c r="AC5" s="19">
        <f>MAX($J5*AE5,$K5*AE5)</f>
        <v>0</v>
      </c>
      <c r="AD5" s="19"/>
      <c r="AE5" s="23"/>
      <c r="AF5" s="25"/>
      <c r="AG5" s="19">
        <f>MIN($J5*AJ5,$K5*AJ5)</f>
        <v>0</v>
      </c>
      <c r="AH5" s="19">
        <f>MAX($J5*AJ5,$K5*AJ5)</f>
        <v>0</v>
      </c>
      <c r="AI5" s="19"/>
      <c r="AJ5" s="23"/>
      <c r="AK5" s="25"/>
      <c r="AL5" s="19">
        <f>MIN($J5*AO5,$K5*AO5)</f>
        <v>0</v>
      </c>
      <c r="AM5" s="19">
        <f>MAX($J5*AO5,$K5*AO5)</f>
        <v>0</v>
      </c>
      <c r="AN5" s="19"/>
      <c r="AO5" s="23"/>
      <c r="AP5" s="25"/>
      <c r="AQ5" s="19">
        <f>MIN($J5*AT5,$K5*AT5)</f>
        <v>0</v>
      </c>
      <c r="AR5" s="19">
        <f>MAX($J5*AT5,$K5*AT5)</f>
        <v>0</v>
      </c>
      <c r="AS5" s="19"/>
      <c r="AT5" s="23"/>
      <c r="AU5" s="25"/>
      <c r="AV5" s="19">
        <f>MIN($J5*AY5,$K5*AY5)</f>
        <v>0</v>
      </c>
      <c r="AW5" s="19">
        <f>MAX($J5*AY5,$K5*AY5)</f>
        <v>0</v>
      </c>
      <c r="AX5" s="19"/>
      <c r="AY5" s="23"/>
      <c r="AZ5" s="25"/>
      <c r="BA5" s="19">
        <f>MIN($J5*BD5,$K5*BD5)</f>
        <v>0</v>
      </c>
      <c r="BB5" s="19">
        <f>MAX($J5*BD5,$K5*BD5)</f>
        <v>0</v>
      </c>
      <c r="BC5" s="19"/>
      <c r="BD5" s="23"/>
      <c r="BE5" s="25"/>
      <c r="BF5" s="19">
        <f>MIN($J5*BI5,$K5*BI5)</f>
        <v>0</v>
      </c>
      <c r="BG5" s="19">
        <f>MAX($J5*BI5,$K5*BI5)</f>
        <v>0</v>
      </c>
      <c r="BH5" s="19"/>
      <c r="BI5" s="23"/>
      <c r="BJ5" s="25"/>
      <c r="BK5" s="19">
        <f>MIN($J5*BN5,$K5*BN5)</f>
        <v>0</v>
      </c>
      <c r="BL5" s="19">
        <f>MAX($J5*BN5,$K5*BN5)</f>
        <v>0</v>
      </c>
      <c r="BM5" s="19"/>
      <c r="BN5" s="23"/>
      <c r="BO5" s="25"/>
      <c r="BP5" s="19">
        <f>MIN($J5*BS5,$K5*BS5)</f>
        <v>0</v>
      </c>
      <c r="BQ5" s="19">
        <f>MAX($J5*BS5,$K5*BS5)</f>
        <v>0</v>
      </c>
      <c r="BR5" s="19"/>
      <c r="BS5" s="23"/>
      <c r="BT5" s="25"/>
      <c r="BU5" s="19">
        <f>MIN($J5*BX5,$K5*BX5)</f>
        <v>0</v>
      </c>
      <c r="BV5" s="19">
        <f>MAX($J5*BX5,$K5*BX5)</f>
        <v>0</v>
      </c>
      <c r="BW5" s="19"/>
      <c r="BX5" s="23"/>
      <c r="BY5" s="25"/>
      <c r="BZ5" s="19">
        <f>MIN($J5*CC5,$K5*CC5)</f>
        <v>0</v>
      </c>
      <c r="CA5" s="19">
        <f>MAX($J5*CC5,$K5*CC5)</f>
        <v>0</v>
      </c>
      <c r="CB5" s="19"/>
      <c r="CC5" s="23"/>
      <c r="CD5" s="25"/>
      <c r="CE5" s="19">
        <f>MIN($J5*CH5,$K5*CH5)</f>
        <v>0</v>
      </c>
      <c r="CF5" s="19">
        <f>MAX($J5*CH5,$K5*CH5)</f>
        <v>0</v>
      </c>
      <c r="CG5" s="19"/>
      <c r="CH5" s="86"/>
    </row>
    <row r="6" spans="3:86" ht="16.5" thickBot="1" x14ac:dyDescent="0.3">
      <c r="C6" s="76" t="s">
        <v>24</v>
      </c>
      <c r="D6" s="11"/>
      <c r="E6" s="54"/>
      <c r="F6" s="61"/>
      <c r="G6" s="27"/>
      <c r="H6" s="28"/>
      <c r="I6" s="27"/>
      <c r="J6" s="26"/>
      <c r="K6" s="28"/>
      <c r="L6" s="28"/>
      <c r="M6" s="19"/>
      <c r="N6" s="19"/>
      <c r="O6" s="17"/>
      <c r="P6" s="29"/>
      <c r="Q6" s="25"/>
      <c r="R6" s="11"/>
      <c r="S6" s="11"/>
      <c r="T6" s="11"/>
      <c r="U6" s="29"/>
      <c r="V6" s="25"/>
      <c r="W6" s="11"/>
      <c r="X6" s="11"/>
      <c r="Y6" s="11"/>
      <c r="Z6" s="29"/>
      <c r="AA6" s="25"/>
      <c r="AB6" s="11"/>
      <c r="AC6" s="11"/>
      <c r="AD6" s="11"/>
      <c r="AE6" s="29"/>
      <c r="AF6" s="25"/>
      <c r="AG6" s="11"/>
      <c r="AH6" s="11"/>
      <c r="AI6" s="11"/>
      <c r="AJ6" s="29"/>
      <c r="AK6" s="25"/>
      <c r="AL6" s="11"/>
      <c r="AM6" s="11"/>
      <c r="AN6" s="11"/>
      <c r="AO6" s="29"/>
      <c r="AP6" s="25"/>
      <c r="AQ6" s="11"/>
      <c r="AR6" s="11"/>
      <c r="AS6" s="11"/>
      <c r="AT6" s="29"/>
      <c r="AU6" s="25"/>
      <c r="AV6" s="11"/>
      <c r="AW6" s="11"/>
      <c r="AX6" s="11"/>
      <c r="AY6" s="29"/>
      <c r="AZ6" s="25"/>
      <c r="BA6" s="11"/>
      <c r="BB6" s="11"/>
      <c r="BC6" s="11"/>
      <c r="BD6" s="29"/>
      <c r="BE6" s="25"/>
      <c r="BF6" s="11"/>
      <c r="BG6" s="11"/>
      <c r="BH6" s="11"/>
      <c r="BI6" s="29"/>
      <c r="BJ6" s="25"/>
      <c r="BK6" s="11"/>
      <c r="BL6" s="11"/>
      <c r="BM6" s="11"/>
      <c r="BN6" s="29"/>
      <c r="BO6" s="25"/>
      <c r="BP6" s="11"/>
      <c r="BQ6" s="11"/>
      <c r="BR6" s="11"/>
      <c r="BS6" s="29"/>
      <c r="BT6" s="25"/>
      <c r="BU6" s="11"/>
      <c r="BV6" s="11"/>
      <c r="BW6" s="11"/>
      <c r="BX6" s="29"/>
      <c r="BY6" s="25"/>
      <c r="BZ6" s="11"/>
      <c r="CA6" s="11"/>
      <c r="CB6" s="11"/>
      <c r="CC6" s="29"/>
      <c r="CD6" s="25"/>
      <c r="CE6" s="11"/>
      <c r="CF6" s="11"/>
      <c r="CG6" s="11"/>
      <c r="CH6" s="85"/>
    </row>
    <row r="7" spans="3:86" s="22" customFormat="1" x14ac:dyDescent="0.25">
      <c r="C7" s="18" t="s">
        <v>25</v>
      </c>
      <c r="D7" s="77">
        <v>88.204999999999998</v>
      </c>
      <c r="E7" s="78">
        <v>54</v>
      </c>
      <c r="F7" s="79">
        <v>216.65090000000001</v>
      </c>
      <c r="G7" s="80">
        <v>0.45700000000000002</v>
      </c>
      <c r="H7" s="81">
        <v>928.60400000000004</v>
      </c>
      <c r="I7" s="80">
        <f>_xlfn.T.INV.2T(0.05,(E7-1))</f>
        <v>2.0057459953178696</v>
      </c>
      <c r="J7" s="77">
        <f>$D7-$I7*$F7/SQRT($E7)</f>
        <v>29.070687593739656</v>
      </c>
      <c r="K7" s="77">
        <f>$D7+$I7*$F7/SQRT($E7)</f>
        <v>147.33931240626035</v>
      </c>
      <c r="L7" s="77"/>
      <c r="M7" s="77">
        <f>$J$7*P7</f>
        <v>726.76718984349145</v>
      </c>
      <c r="N7" s="77">
        <f>$K$7*P7</f>
        <v>3683.4828101565085</v>
      </c>
      <c r="O7" s="82"/>
      <c r="P7" s="79">
        <f>([1]LH1!J7-[1]LH1!J8)-([1]LH1!H7-[1]LH1!H8)</f>
        <v>25</v>
      </c>
      <c r="Q7" s="83"/>
      <c r="R7" s="77">
        <f t="shared" ref="R7:R26" si="0">MIN($J7*$U7,$K7*$U7)</f>
        <v>29.070687593739656</v>
      </c>
      <c r="S7" s="77">
        <f t="shared" ref="S7:S26" si="1">MAX($J7*$U7,$K7*$U7)</f>
        <v>147.33931240626035</v>
      </c>
      <c r="T7" s="77">
        <v>200.02403745633458</v>
      </c>
      <c r="U7" s="79">
        <v>1</v>
      </c>
      <c r="V7" s="83"/>
      <c r="W7" s="77">
        <f>MIN($J7*Z7,$K7*Z7)</f>
        <v>11860.84053824578</v>
      </c>
      <c r="X7" s="77">
        <f>MAX($J7*Z7,$K7*Z7)</f>
        <v>60114.43946175422</v>
      </c>
      <c r="Y7" s="77"/>
      <c r="Z7" s="79">
        <f>[1]LH3!L7-[1]LH3!L8</f>
        <v>408</v>
      </c>
      <c r="AA7" s="83"/>
      <c r="AB7" s="77">
        <f>MIN($J7*AE7,$K7*AE7)</f>
        <v>3039.0496810495433</v>
      </c>
      <c r="AC7" s="77">
        <f>MAX($J7*AE7,$K7*AE7)</f>
        <v>15402.851718950456</v>
      </c>
      <c r="AD7" s="77"/>
      <c r="AE7" s="79">
        <f>[1]LH4!L8-[1]LH4!L9</f>
        <v>104.53999999999999</v>
      </c>
      <c r="AF7" s="83"/>
      <c r="AG7" s="77">
        <f>MIN($J7*AJ7,$K7*AJ7)</f>
        <v>3545.1703520565507</v>
      </c>
      <c r="AH7" s="77">
        <f>MAX($J7*AJ7,$K7*AJ7)</f>
        <v>17968.029147943449</v>
      </c>
      <c r="AI7" s="77"/>
      <c r="AJ7" s="79">
        <f>[1]LH4!P8-[1]LH4!P9</f>
        <v>121.94999999999999</v>
      </c>
      <c r="AK7" s="83"/>
      <c r="AL7" s="77">
        <f>MIN($J7*AO7,$K7*AO7)</f>
        <v>2612.582694049383</v>
      </c>
      <c r="AM7" s="77">
        <f>MAX($J7*AO7,$K7*AO7)</f>
        <v>13241.384005950618</v>
      </c>
      <c r="AN7" s="77"/>
      <c r="AO7" s="79">
        <f>[1]LH4!T8-[1]LH4!T9</f>
        <v>89.87</v>
      </c>
      <c r="AP7" s="83"/>
      <c r="AQ7" s="77">
        <f>MIN($J7*AT7,$K7*AT7)</f>
        <v>1965.4691882127381</v>
      </c>
      <c r="AR7" s="77">
        <f>MAX($J7*AT7,$K7*AT7)</f>
        <v>9961.610911787262</v>
      </c>
      <c r="AS7" s="77"/>
      <c r="AT7" s="79">
        <f>[1]LH4!X8-[1]LH4!X9</f>
        <v>67.61</v>
      </c>
      <c r="AU7" s="83"/>
      <c r="AV7" s="77">
        <f>MIN($J7*AY7,$K7*AY7)</f>
        <v>11798.629266795177</v>
      </c>
      <c r="AW7" s="77">
        <f>MAX($J7*AY7,$K7*AY7)</f>
        <v>59799.133333204823</v>
      </c>
      <c r="AX7" s="77">
        <v>363.72082683314358</v>
      </c>
      <c r="AY7" s="79">
        <f>[1]LH5!L8-[1]LH5!L9</f>
        <v>405.86</v>
      </c>
      <c r="AZ7" s="83"/>
      <c r="BA7" s="77">
        <f>MIN($J7*BD7,$K7*BD7)</f>
        <v>2354.7256950929122</v>
      </c>
      <c r="BB7" s="77">
        <f>MAX($J7*BD7,$K7*BD7)</f>
        <v>11934.484304907088</v>
      </c>
      <c r="BC7" s="77">
        <v>86.255533629089882</v>
      </c>
      <c r="BD7" s="79">
        <f>[1]LH5!T8-[1]LH5!T9</f>
        <v>81</v>
      </c>
      <c r="BE7" s="83"/>
      <c r="BF7" s="77">
        <f>MIN($J7*BI7,$K7*BI7)</f>
        <v>5241.1542662753227</v>
      </c>
      <c r="BG7" s="77">
        <f>MAX($J7*BI7,$K7*BI7)</f>
        <v>26563.804633724678</v>
      </c>
      <c r="BH7" s="77">
        <v>190.2204170506717</v>
      </c>
      <c r="BI7" s="79">
        <f>[1]LH5!P8-[1]LH5!P9</f>
        <v>180.29</v>
      </c>
      <c r="BJ7" s="83"/>
      <c r="BK7" s="77">
        <f>MIN($J7*BN7,$K7*BN7)</f>
        <v>-62766.547085066908</v>
      </c>
      <c r="BL7" s="77">
        <f>MAX($J7*BN7,$K7*BN7)</f>
        <v>-12384.112914933094</v>
      </c>
      <c r="BM7" s="77">
        <v>95.723808508758438</v>
      </c>
      <c r="BN7" s="79">
        <f>[1]LH6!L7-[1]LH6!L8</f>
        <v>-426</v>
      </c>
      <c r="BO7" s="83"/>
      <c r="BP7" s="77">
        <f>MIN($J7*BS7,$K7*BS7)</f>
        <v>1220.9688789370655</v>
      </c>
      <c r="BQ7" s="77">
        <f>MAX($J7*BS7,$K7*BS7)</f>
        <v>6188.2511210629345</v>
      </c>
      <c r="BR7" s="77">
        <v>9.3981518722542035</v>
      </c>
      <c r="BS7" s="79">
        <f>[1]LH7!L7-[1]LH7!L8</f>
        <v>42</v>
      </c>
      <c r="BT7" s="83"/>
      <c r="BU7" s="77">
        <f>MIN($J7*BX7,$K7*BX7)</f>
        <v>436.35102078203221</v>
      </c>
      <c r="BV7" s="77">
        <f>MAX($J7*BX7,$K7*BX7)</f>
        <v>2211.5630792179677</v>
      </c>
      <c r="BW7" s="77">
        <v>41.926884650942327</v>
      </c>
      <c r="BX7" s="79">
        <f>[1]LL1!L8-[1]LL1!L9</f>
        <v>15.01</v>
      </c>
      <c r="BY7" s="83"/>
      <c r="BZ7" s="77">
        <f>MIN($J7*CC7,$K7*CC7)</f>
        <v>14703.663078037582</v>
      </c>
      <c r="CA7" s="77">
        <f>MAX($J7*CC7,$K7*CC7)</f>
        <v>74522.750821962429</v>
      </c>
      <c r="CB7" s="77">
        <v>658.19350942169172</v>
      </c>
      <c r="CC7" s="79">
        <f>[1]LL1!P8-[1]LL1!P9</f>
        <v>505.79</v>
      </c>
      <c r="CD7" s="83"/>
      <c r="CE7" s="77">
        <f>MIN($J7*CH7,$K7*CH7)</f>
        <v>12900.699033473848</v>
      </c>
      <c r="CF7" s="77">
        <f>MAX($J7*CH7,$K7*CH7)</f>
        <v>65384.766666526149</v>
      </c>
      <c r="CG7" s="77">
        <v>136.99653915371476</v>
      </c>
      <c r="CH7" s="84">
        <f>[1]LL2!L7-[1]LL2!L8</f>
        <v>443.77</v>
      </c>
    </row>
    <row r="8" spans="3:86" x14ac:dyDescent="0.25">
      <c r="C8" s="30" t="s">
        <v>26</v>
      </c>
      <c r="D8" s="11"/>
      <c r="E8" s="54"/>
      <c r="F8" s="29"/>
      <c r="G8" s="31"/>
      <c r="H8" s="32"/>
      <c r="I8" s="31"/>
      <c r="J8" s="11"/>
      <c r="K8" s="11"/>
      <c r="L8" s="11"/>
      <c r="M8" s="11"/>
      <c r="N8" s="11"/>
      <c r="O8" s="17"/>
      <c r="P8" s="29"/>
      <c r="Q8" s="25"/>
      <c r="R8" s="11"/>
      <c r="S8" s="11"/>
      <c r="T8" s="11">
        <v>-198.35799038468525</v>
      </c>
      <c r="U8" s="29"/>
      <c r="V8" s="25"/>
      <c r="W8" s="11"/>
      <c r="X8" s="11"/>
      <c r="Y8" s="11"/>
      <c r="Z8" s="29"/>
      <c r="AA8" s="25"/>
      <c r="AB8" s="11"/>
      <c r="AC8" s="11"/>
      <c r="AD8" s="11"/>
      <c r="AE8" s="29"/>
      <c r="AF8" s="25"/>
      <c r="AG8" s="11"/>
      <c r="AH8" s="11"/>
      <c r="AI8" s="11"/>
      <c r="AJ8" s="29"/>
      <c r="AK8" s="25"/>
      <c r="AL8" s="11"/>
      <c r="AM8" s="11"/>
      <c r="AN8" s="11"/>
      <c r="AO8" s="29"/>
      <c r="AP8" s="25"/>
      <c r="AQ8" s="11"/>
      <c r="AR8" s="11"/>
      <c r="AS8" s="11">
        <v>-5921.2098059229338</v>
      </c>
      <c r="AT8" s="29">
        <v>12.39</v>
      </c>
      <c r="AU8" s="25"/>
      <c r="AV8" s="11"/>
      <c r="AW8" s="11"/>
      <c r="AX8" s="11"/>
      <c r="AY8" s="29"/>
      <c r="AZ8" s="25"/>
      <c r="BA8" s="11"/>
      <c r="BB8" s="11"/>
      <c r="BC8" s="11"/>
      <c r="BD8" s="29"/>
      <c r="BE8" s="25"/>
      <c r="BF8" s="11"/>
      <c r="BG8" s="11"/>
      <c r="BH8" s="11">
        <v>-34.750002405191822</v>
      </c>
      <c r="BI8" s="29">
        <v>24.71</v>
      </c>
      <c r="BJ8" s="25"/>
      <c r="BK8" s="11"/>
      <c r="BL8" s="11"/>
      <c r="BM8" s="11">
        <v>-404.78453803391653</v>
      </c>
      <c r="BN8" s="29">
        <v>515</v>
      </c>
      <c r="BO8" s="25"/>
      <c r="BP8" s="11"/>
      <c r="BQ8" s="11"/>
      <c r="BR8" s="11">
        <v>-3.9811196249860821</v>
      </c>
      <c r="BS8" s="29">
        <v>18</v>
      </c>
      <c r="BT8" s="25"/>
      <c r="BU8" s="11"/>
      <c r="BV8" s="11"/>
      <c r="BW8" s="11">
        <v>-29.103902381753393</v>
      </c>
      <c r="BX8" s="29">
        <v>11.99</v>
      </c>
      <c r="BY8" s="25"/>
      <c r="BZ8" s="11"/>
      <c r="CA8" s="11"/>
      <c r="CB8" s="11">
        <v>-51.495874744080986</v>
      </c>
      <c r="CC8" s="29">
        <v>22.21</v>
      </c>
      <c r="CD8" s="25"/>
      <c r="CE8" s="11"/>
      <c r="CF8" s="11"/>
      <c r="CG8" s="11">
        <v>3.7214859191517675</v>
      </c>
      <c r="CH8" s="85">
        <v>-6.769999999999996</v>
      </c>
    </row>
    <row r="9" spans="3:86" x14ac:dyDescent="0.25">
      <c r="C9" s="33" t="s">
        <v>27</v>
      </c>
      <c r="D9" s="11"/>
      <c r="E9" s="54"/>
      <c r="F9" s="29"/>
      <c r="G9" s="31"/>
      <c r="H9" s="32"/>
      <c r="I9" s="31"/>
      <c r="J9" s="11"/>
      <c r="K9" s="32"/>
      <c r="L9" s="31"/>
      <c r="M9" s="11">
        <f>J9*P9</f>
        <v>0</v>
      </c>
      <c r="N9" s="11">
        <f>K9*P9</f>
        <v>0</v>
      </c>
      <c r="O9" s="17"/>
      <c r="P9" s="29"/>
      <c r="Q9" s="25"/>
      <c r="R9" s="11"/>
      <c r="S9" s="11"/>
      <c r="T9" s="11"/>
      <c r="U9" s="29"/>
      <c r="V9" s="25"/>
      <c r="W9" s="11"/>
      <c r="X9" s="11"/>
      <c r="Y9" s="11"/>
      <c r="Z9" s="29"/>
      <c r="AA9" s="25"/>
      <c r="AB9" s="11"/>
      <c r="AC9" s="11"/>
      <c r="AD9" s="11"/>
      <c r="AE9" s="29"/>
      <c r="AF9" s="25"/>
      <c r="AG9" s="11"/>
      <c r="AH9" s="11"/>
      <c r="AI9" s="11"/>
      <c r="AJ9" s="29"/>
      <c r="AK9" s="25"/>
      <c r="AL9" s="11"/>
      <c r="AM9" s="11"/>
      <c r="AN9" s="11"/>
      <c r="AO9" s="29"/>
      <c r="AP9" s="25"/>
      <c r="AQ9" s="11"/>
      <c r="AR9" s="11"/>
      <c r="AS9" s="11"/>
      <c r="AT9" s="29"/>
      <c r="AU9" s="25"/>
      <c r="AV9" s="11"/>
      <c r="AW9" s="11"/>
      <c r="AX9" s="11"/>
      <c r="AY9" s="29"/>
      <c r="AZ9" s="25"/>
      <c r="BA9" s="11"/>
      <c r="BB9" s="11"/>
      <c r="BC9" s="11"/>
      <c r="BD9" s="29"/>
      <c r="BE9" s="25"/>
      <c r="BF9" s="11"/>
      <c r="BG9" s="11"/>
      <c r="BH9" s="11"/>
      <c r="BI9" s="29"/>
      <c r="BJ9" s="25"/>
      <c r="BK9" s="11"/>
      <c r="BL9" s="11"/>
      <c r="BM9" s="11"/>
      <c r="BN9" s="29"/>
      <c r="BO9" s="25"/>
      <c r="BP9" s="11"/>
      <c r="BQ9" s="11"/>
      <c r="BR9" s="11"/>
      <c r="BS9" s="29"/>
      <c r="BT9" s="25"/>
      <c r="BU9" s="11"/>
      <c r="BV9" s="11"/>
      <c r="BW9" s="11"/>
      <c r="BX9" s="29"/>
      <c r="BY9" s="25"/>
      <c r="BZ9" s="11"/>
      <c r="CA9" s="11"/>
      <c r="CB9" s="11"/>
      <c r="CC9" s="29"/>
      <c r="CD9" s="25"/>
      <c r="CE9" s="11"/>
      <c r="CF9" s="11"/>
      <c r="CG9" s="11"/>
      <c r="CH9" s="85"/>
    </row>
    <row r="10" spans="3:86" s="22" customFormat="1" ht="24" customHeight="1" x14ac:dyDescent="0.25">
      <c r="C10" s="34" t="s">
        <v>28</v>
      </c>
      <c r="D10" s="19">
        <v>5.8609999999999998</v>
      </c>
      <c r="E10" s="53">
        <v>6</v>
      </c>
      <c r="F10" s="23">
        <v>11.1226</v>
      </c>
      <c r="G10" s="20">
        <v>-1.3435999999999999</v>
      </c>
      <c r="H10" s="21">
        <v>25.133199999999999</v>
      </c>
      <c r="I10" s="20">
        <f>_xlfn.T.INV.2T(0.05,(E10-1))</f>
        <v>2.570581835636315</v>
      </c>
      <c r="J10" s="19">
        <f>$D10-$I10*$F10/SQRT($E10)</f>
        <v>-5.8114528483070798</v>
      </c>
      <c r="K10" s="19">
        <f>$D10+$I10*$F10/SQRT($E10)</f>
        <v>17.533452848307078</v>
      </c>
      <c r="L10" s="19"/>
      <c r="M10" s="19">
        <f>$J$10*P10</f>
        <v>0</v>
      </c>
      <c r="N10" s="19">
        <f>$K$10*P10</f>
        <v>0</v>
      </c>
      <c r="O10" s="17">
        <v>0</v>
      </c>
      <c r="P10" s="23">
        <f>[1]LH1!J10-[1]LH1!H10</f>
        <v>0</v>
      </c>
      <c r="Q10" s="25"/>
      <c r="R10" s="19">
        <f t="shared" si="0"/>
        <v>0</v>
      </c>
      <c r="S10" s="19">
        <f t="shared" si="1"/>
        <v>0</v>
      </c>
      <c r="T10" s="19">
        <v>0</v>
      </c>
      <c r="U10" s="23">
        <f>[1]LH2!$J10-[1]LH2!$H10</f>
        <v>0</v>
      </c>
      <c r="V10" s="25"/>
      <c r="W10" s="19">
        <f>MIN($J10*Z10,$K10*Z10)</f>
        <v>-58.114528483070799</v>
      </c>
      <c r="X10" s="19">
        <f>MAX($J10*Z10,$K10*Z10)</f>
        <v>175.33452848307078</v>
      </c>
      <c r="Y10" s="19"/>
      <c r="Z10" s="23">
        <v>10</v>
      </c>
      <c r="AA10" s="25"/>
      <c r="AB10" s="19">
        <f>MIN($J10*AE10,$K10*AE10)</f>
        <v>0</v>
      </c>
      <c r="AC10" s="19">
        <f>MAX($J10*AE10,$K10*AE10)</f>
        <v>0</v>
      </c>
      <c r="AD10" s="19">
        <v>0</v>
      </c>
      <c r="AE10" s="23">
        <v>0</v>
      </c>
      <c r="AF10" s="25"/>
      <c r="AG10" s="19">
        <f>MIN($J10*AJ10,$K10*AJ10)</f>
        <v>0</v>
      </c>
      <c r="AH10" s="19">
        <f>MAX($J10*AJ10,$K10*AJ10)</f>
        <v>0</v>
      </c>
      <c r="AI10" s="19">
        <v>0</v>
      </c>
      <c r="AJ10" s="23">
        <v>0</v>
      </c>
      <c r="AK10" s="25"/>
      <c r="AL10" s="19">
        <f>MIN($J10*AO10,$K10*AO10)</f>
        <v>0</v>
      </c>
      <c r="AM10" s="19">
        <f>MAX($J10*AO10,$K10*AO10)</f>
        <v>0</v>
      </c>
      <c r="AN10" s="19">
        <v>0</v>
      </c>
      <c r="AO10" s="23">
        <v>0</v>
      </c>
      <c r="AP10" s="25"/>
      <c r="AQ10" s="19">
        <f>MIN($J10*AT10,$K10*AT10)</f>
        <v>0</v>
      </c>
      <c r="AR10" s="19">
        <f>MAX($J10*AT10,$K10*AT10)</f>
        <v>0</v>
      </c>
      <c r="AS10" s="19">
        <v>0</v>
      </c>
      <c r="AT10" s="23">
        <v>0</v>
      </c>
      <c r="AU10" s="25"/>
      <c r="AV10" s="19">
        <f>MIN($J10*AY10,$K10*AY10)</f>
        <v>-52.303075634763715</v>
      </c>
      <c r="AW10" s="19">
        <f>MAX($J10*AY10,$K10*AY10)</f>
        <v>157.80107563476372</v>
      </c>
      <c r="AX10" s="19">
        <v>-16.254000000000019</v>
      </c>
      <c r="AY10" s="23">
        <v>9</v>
      </c>
      <c r="AZ10" s="25"/>
      <c r="BA10" s="19">
        <f>MIN($J10*BD10,$K10*BD10)</f>
        <v>0</v>
      </c>
      <c r="BB10" s="19">
        <f>MAX($J10*BD10,$K10*BD10)</f>
        <v>0</v>
      </c>
      <c r="BC10" s="19">
        <v>0</v>
      </c>
      <c r="BD10" s="23">
        <v>0</v>
      </c>
      <c r="BE10" s="25"/>
      <c r="BF10" s="19">
        <f>MIN($J10*BI10,$K10*BI10)</f>
        <v>0</v>
      </c>
      <c r="BG10" s="19">
        <f>MAX($J10*BI10,$K10*BI10)</f>
        <v>0</v>
      </c>
      <c r="BH10" s="19">
        <v>0</v>
      </c>
      <c r="BI10" s="23">
        <v>0</v>
      </c>
      <c r="BJ10" s="25"/>
      <c r="BK10" s="19">
        <f>MIN($J10*BN10,$K10*BN10)</f>
        <v>0</v>
      </c>
      <c r="BL10" s="19">
        <f>MAX($J10*BN10,$K10*BN10)</f>
        <v>0</v>
      </c>
      <c r="BM10" s="19">
        <v>0</v>
      </c>
      <c r="BN10" s="23">
        <v>0</v>
      </c>
      <c r="BO10" s="25"/>
      <c r="BP10" s="19">
        <f>MIN($J10*BS10,$K10*BS10)</f>
        <v>-11.62290569661416</v>
      </c>
      <c r="BQ10" s="19">
        <f>MAX($J10*BS10,$K10*BS10)</f>
        <v>35.066905696614157</v>
      </c>
      <c r="BR10" s="19">
        <v>-3.61200000000008</v>
      </c>
      <c r="BS10" s="23">
        <v>2</v>
      </c>
      <c r="BT10" s="25"/>
      <c r="BU10" s="19">
        <f>MIN($J10*BX10,$K10*BX10)</f>
        <v>0</v>
      </c>
      <c r="BV10" s="19">
        <f>MAX($J10*BX10,$K10*BX10)</f>
        <v>0</v>
      </c>
      <c r="BW10" s="19">
        <v>0</v>
      </c>
      <c r="BX10" s="23">
        <v>0</v>
      </c>
      <c r="BY10" s="25"/>
      <c r="BZ10" s="19">
        <f>MIN($J10*CC10,$K10*CC10)</f>
        <v>0</v>
      </c>
      <c r="CA10" s="19">
        <f>MAX($J10*CC10,$K10*CC10)</f>
        <v>0</v>
      </c>
      <c r="CB10" s="19">
        <v>0</v>
      </c>
      <c r="CC10" s="23">
        <v>0</v>
      </c>
      <c r="CD10" s="25"/>
      <c r="CE10" s="19">
        <f>MIN($J10*CH10,$K10*CH10)</f>
        <v>0</v>
      </c>
      <c r="CF10" s="19">
        <f>MAX($J10*CH10,$K10*CH10)</f>
        <v>0</v>
      </c>
      <c r="CG10" s="19">
        <v>0</v>
      </c>
      <c r="CH10" s="86">
        <v>0</v>
      </c>
    </row>
    <row r="11" spans="3:86" x14ac:dyDescent="0.25">
      <c r="C11" s="35" t="s">
        <v>29</v>
      </c>
      <c r="D11" s="11"/>
      <c r="E11" s="54"/>
      <c r="F11" s="29"/>
      <c r="G11" s="31"/>
      <c r="H11" s="32"/>
      <c r="I11" s="31"/>
      <c r="J11" s="11"/>
      <c r="K11" s="32"/>
      <c r="L11" s="29"/>
      <c r="M11" s="11"/>
      <c r="N11" s="11"/>
      <c r="O11" s="17"/>
      <c r="P11" s="29">
        <f>[1]LH1!J11-[1]LH1!H11</f>
        <v>0</v>
      </c>
      <c r="Q11" s="25"/>
      <c r="R11" s="11"/>
      <c r="S11" s="11"/>
      <c r="T11" s="11"/>
      <c r="U11" s="29">
        <f>[1]LH2!$J11-[1]LH2!$H11</f>
        <v>0</v>
      </c>
      <c r="V11" s="25"/>
      <c r="W11" s="11"/>
      <c r="X11" s="11"/>
      <c r="Y11" s="11"/>
      <c r="Z11" s="29"/>
      <c r="AA11" s="25"/>
      <c r="AB11" s="11"/>
      <c r="AC11" s="11"/>
      <c r="AD11" s="11"/>
      <c r="AE11" s="29"/>
      <c r="AF11" s="25"/>
      <c r="AG11" s="11"/>
      <c r="AH11" s="11"/>
      <c r="AI11" s="11"/>
      <c r="AJ11" s="29"/>
      <c r="AK11" s="25"/>
      <c r="AL11" s="11"/>
      <c r="AM11" s="11"/>
      <c r="AN11" s="11">
        <v>0</v>
      </c>
      <c r="AO11" s="29"/>
      <c r="AP11" s="25"/>
      <c r="AQ11" s="11"/>
      <c r="AR11" s="11"/>
      <c r="AS11" s="11"/>
      <c r="AT11" s="29"/>
      <c r="AU11" s="25"/>
      <c r="AV11" s="11"/>
      <c r="AW11" s="11"/>
      <c r="AX11" s="11"/>
      <c r="AY11" s="29"/>
      <c r="AZ11" s="25"/>
      <c r="BA11" s="11"/>
      <c r="BB11" s="11"/>
      <c r="BC11" s="11">
        <v>0</v>
      </c>
      <c r="BD11" s="29"/>
      <c r="BE11" s="25"/>
      <c r="BF11" s="11"/>
      <c r="BG11" s="11"/>
      <c r="BH11" s="11"/>
      <c r="BI11" s="29"/>
      <c r="BJ11" s="25"/>
      <c r="BK11" s="11"/>
      <c r="BL11" s="11"/>
      <c r="BM11" s="11"/>
      <c r="BN11" s="29"/>
      <c r="BO11" s="25"/>
      <c r="BP11" s="11"/>
      <c r="BQ11" s="11"/>
      <c r="BR11" s="11"/>
      <c r="BS11" s="29"/>
      <c r="BT11" s="25"/>
      <c r="BU11" s="11"/>
      <c r="BV11" s="11"/>
      <c r="BW11" s="11"/>
      <c r="BX11" s="29"/>
      <c r="BY11" s="25"/>
      <c r="BZ11" s="11"/>
      <c r="CA11" s="11"/>
      <c r="CB11" s="11"/>
      <c r="CC11" s="29"/>
      <c r="CD11" s="25"/>
      <c r="CE11" s="11"/>
      <c r="CF11" s="11"/>
      <c r="CG11" s="11"/>
      <c r="CH11" s="85"/>
    </row>
    <row r="12" spans="3:86" x14ac:dyDescent="0.25">
      <c r="C12" s="35" t="s">
        <v>30</v>
      </c>
      <c r="D12" s="11"/>
      <c r="E12" s="54"/>
      <c r="F12" s="62" t="s">
        <v>31</v>
      </c>
      <c r="G12" s="87"/>
      <c r="H12" s="32"/>
      <c r="I12" s="31"/>
      <c r="J12" s="36"/>
      <c r="K12" s="31"/>
      <c r="L12" s="31"/>
      <c r="M12" s="31"/>
      <c r="N12" s="11"/>
      <c r="O12" s="17">
        <v>9.8700000000000093E-2</v>
      </c>
      <c r="P12" s="29">
        <f>[1]LH1!J12-[1]LH1!H12</f>
        <v>0.30000000000000004</v>
      </c>
      <c r="Q12" s="25"/>
      <c r="R12" s="11"/>
      <c r="S12" s="11"/>
      <c r="T12" s="11">
        <v>0.15792</v>
      </c>
      <c r="U12" s="29">
        <f>[1]LH2!$J12-[1]LH2!$H12</f>
        <v>0.48</v>
      </c>
      <c r="V12" s="25"/>
      <c r="W12" s="11"/>
      <c r="X12" s="11"/>
      <c r="Y12" s="11">
        <v>4.2605500000000003</v>
      </c>
      <c r="Z12" s="29">
        <v>12.95</v>
      </c>
      <c r="AA12" s="25"/>
      <c r="AB12" s="11"/>
      <c r="AC12" s="11"/>
      <c r="AD12" s="11">
        <v>0.53298000000000023</v>
      </c>
      <c r="AE12" s="29">
        <v>1.62</v>
      </c>
      <c r="AF12" s="25"/>
      <c r="AG12" s="11"/>
      <c r="AH12" s="11"/>
      <c r="AI12" s="11">
        <v>1.1021500000000004</v>
      </c>
      <c r="AJ12" s="29">
        <v>3.3500000000000005</v>
      </c>
      <c r="AK12" s="25"/>
      <c r="AL12" s="11"/>
      <c r="AM12" s="11"/>
      <c r="AN12" s="11">
        <v>1.6450000000000298E-2</v>
      </c>
      <c r="AO12" s="29">
        <v>5.0000000000000711E-2</v>
      </c>
      <c r="AP12" s="25"/>
      <c r="AQ12" s="11"/>
      <c r="AR12" s="11"/>
      <c r="AS12" s="11">
        <v>0.63826000000000027</v>
      </c>
      <c r="AT12" s="29">
        <v>1.9400000000000004</v>
      </c>
      <c r="AU12" s="25"/>
      <c r="AV12" s="11"/>
      <c r="AW12" s="11"/>
      <c r="AX12" s="11">
        <v>3.296580000000001</v>
      </c>
      <c r="AY12" s="29">
        <v>10.020000000000001</v>
      </c>
      <c r="AZ12" s="25"/>
      <c r="BA12" s="11"/>
      <c r="BB12" s="11"/>
      <c r="BC12" s="11">
        <v>0.78959999999999997</v>
      </c>
      <c r="BD12" s="29">
        <v>2.4</v>
      </c>
      <c r="BE12" s="25"/>
      <c r="BF12" s="11"/>
      <c r="BG12" s="11"/>
      <c r="BH12" s="11">
        <v>1.8259500000000002</v>
      </c>
      <c r="BI12" s="29">
        <v>5.5500000000000007</v>
      </c>
      <c r="BJ12" s="25"/>
      <c r="BK12" s="11"/>
      <c r="BL12" s="11"/>
      <c r="BM12" s="11">
        <v>0.22700999999999999</v>
      </c>
      <c r="BN12" s="29">
        <v>0.69</v>
      </c>
      <c r="BO12" s="25"/>
      <c r="BP12" s="11"/>
      <c r="BQ12" s="11"/>
      <c r="BR12" s="11">
        <v>0.58562000000000003</v>
      </c>
      <c r="BS12" s="29">
        <v>1.7800000000000002</v>
      </c>
      <c r="BT12" s="25"/>
      <c r="BU12" s="11"/>
      <c r="BV12" s="11"/>
      <c r="BW12" s="11">
        <v>-0.79288999999999998</v>
      </c>
      <c r="BX12" s="29">
        <v>-2.41</v>
      </c>
      <c r="BY12" s="25"/>
      <c r="BZ12" s="11"/>
      <c r="CA12" s="11"/>
      <c r="CB12" s="11">
        <v>-1.1712400000000001</v>
      </c>
      <c r="CC12" s="29">
        <v>-3.56</v>
      </c>
      <c r="CD12" s="25"/>
      <c r="CE12" s="11"/>
      <c r="CF12" s="11"/>
      <c r="CG12" s="11">
        <v>2.960999999999997E-2</v>
      </c>
      <c r="CH12" s="85">
        <v>8.9999999999999969E-2</v>
      </c>
    </row>
    <row r="13" spans="3:86" x14ac:dyDescent="0.25">
      <c r="C13" s="35" t="s">
        <v>32</v>
      </c>
      <c r="D13" s="11"/>
      <c r="E13" s="54"/>
      <c r="F13" s="29" t="s">
        <v>31</v>
      </c>
      <c r="G13" s="31"/>
      <c r="H13" s="32"/>
      <c r="I13" s="31"/>
      <c r="J13" s="11"/>
      <c r="K13" s="32"/>
      <c r="L13" s="31"/>
      <c r="M13" s="11"/>
      <c r="N13" s="11"/>
      <c r="O13" s="17">
        <v>-27.492000000000004</v>
      </c>
      <c r="P13" s="29">
        <f>[1]LH1!J13-[1]LH1!H13</f>
        <v>-58</v>
      </c>
      <c r="Q13" s="25"/>
      <c r="R13" s="11"/>
      <c r="S13" s="11"/>
      <c r="T13" s="11">
        <v>16.352999999999998</v>
      </c>
      <c r="U13" s="29">
        <f>[1]LH2!$J13-[1]LH2!$H13</f>
        <v>34.5</v>
      </c>
      <c r="V13" s="25"/>
      <c r="W13" s="11"/>
      <c r="X13" s="11"/>
      <c r="Y13" s="11">
        <v>1519.1699999999998</v>
      </c>
      <c r="Z13" s="29">
        <v>3205</v>
      </c>
      <c r="AA13" s="25"/>
      <c r="AB13" s="11"/>
      <c r="AC13" s="11"/>
      <c r="AD13" s="11">
        <v>-8.5320000000000036</v>
      </c>
      <c r="AE13" s="29">
        <v>-18</v>
      </c>
      <c r="AF13" s="25"/>
      <c r="AG13" s="11"/>
      <c r="AH13" s="11"/>
      <c r="AI13" s="11">
        <v>5.2139999999999986</v>
      </c>
      <c r="AJ13" s="29">
        <v>11</v>
      </c>
      <c r="AK13" s="25"/>
      <c r="AL13" s="11"/>
      <c r="AM13" s="11"/>
      <c r="AN13" s="11">
        <v>5.2139999999999986</v>
      </c>
      <c r="AO13" s="29">
        <v>11</v>
      </c>
      <c r="AP13" s="25"/>
      <c r="AQ13" s="11"/>
      <c r="AR13" s="11"/>
      <c r="AS13" s="11">
        <v>-24.173999999999999</v>
      </c>
      <c r="AT13" s="29">
        <v>-51</v>
      </c>
      <c r="AU13" s="25"/>
      <c r="AV13" s="11"/>
      <c r="AW13" s="11"/>
      <c r="AX13" s="11">
        <v>104.754</v>
      </c>
      <c r="AY13" s="29">
        <v>221</v>
      </c>
      <c r="AZ13" s="25"/>
      <c r="BA13" s="11"/>
      <c r="BB13" s="11"/>
      <c r="BC13" s="11">
        <v>-10.428000000000001</v>
      </c>
      <c r="BD13" s="29">
        <v>-22</v>
      </c>
      <c r="BE13" s="25"/>
      <c r="BF13" s="11"/>
      <c r="BG13" s="11"/>
      <c r="BH13" s="11">
        <v>43.134</v>
      </c>
      <c r="BI13" s="29">
        <v>91</v>
      </c>
      <c r="BJ13" s="25"/>
      <c r="BK13" s="11"/>
      <c r="BL13" s="11"/>
      <c r="BM13" s="11">
        <v>36.497999999999998</v>
      </c>
      <c r="BN13" s="29">
        <v>77</v>
      </c>
      <c r="BO13" s="25"/>
      <c r="BP13" s="11"/>
      <c r="BQ13" s="11"/>
      <c r="BR13" s="11">
        <v>-2.3700000000000045</v>
      </c>
      <c r="BS13" s="29">
        <v>-5</v>
      </c>
      <c r="BT13" s="25"/>
      <c r="BU13" s="11"/>
      <c r="BV13" s="11"/>
      <c r="BW13" s="11">
        <v>79.631999999999991</v>
      </c>
      <c r="BX13" s="29">
        <v>168</v>
      </c>
      <c r="BY13" s="25"/>
      <c r="BZ13" s="11"/>
      <c r="CA13" s="11"/>
      <c r="CB13" s="11">
        <v>-20.950800000000001</v>
      </c>
      <c r="CC13" s="29">
        <v>-44.2</v>
      </c>
      <c r="CD13" s="25"/>
      <c r="CE13" s="11"/>
      <c r="CF13" s="11"/>
      <c r="CG13" s="11">
        <v>8.0579999999999927</v>
      </c>
      <c r="CH13" s="85">
        <v>17</v>
      </c>
    </row>
    <row r="14" spans="3:86" x14ac:dyDescent="0.25">
      <c r="C14" s="35" t="s">
        <v>33</v>
      </c>
      <c r="D14" s="11"/>
      <c r="E14" s="54"/>
      <c r="F14" s="29" t="s">
        <v>31</v>
      </c>
      <c r="G14" s="31"/>
      <c r="H14" s="87"/>
      <c r="I14" s="87"/>
      <c r="J14" s="11"/>
      <c r="K14" s="37"/>
      <c r="L14" s="87"/>
      <c r="M14" s="11"/>
      <c r="N14" s="11"/>
      <c r="O14" s="17">
        <v>-1.1360249999999965</v>
      </c>
      <c r="P14" s="29">
        <f>[1]LH1!J14-[1]LH1!H14</f>
        <v>-2.4749999999999943</v>
      </c>
      <c r="Q14" s="25"/>
      <c r="R14" s="11"/>
      <c r="S14" s="11"/>
      <c r="T14" s="11">
        <v>41.433929999999997</v>
      </c>
      <c r="U14" s="29">
        <f>[1]LH2!$J14-[1]LH2!$H14</f>
        <v>90.27</v>
      </c>
      <c r="V14" s="25"/>
      <c r="W14" s="11"/>
      <c r="X14" s="11"/>
      <c r="Y14" s="11">
        <v>391.52699999999999</v>
      </c>
      <c r="Z14" s="29">
        <v>853</v>
      </c>
      <c r="AA14" s="25"/>
      <c r="AB14" s="11"/>
      <c r="AC14" s="11"/>
      <c r="AD14" s="11">
        <v>96.849000000000004</v>
      </c>
      <c r="AE14" s="29">
        <v>211</v>
      </c>
      <c r="AF14" s="25"/>
      <c r="AG14" s="11"/>
      <c r="AH14" s="11"/>
      <c r="AI14" s="11">
        <v>40.850999999999985</v>
      </c>
      <c r="AJ14" s="29">
        <v>89</v>
      </c>
      <c r="AK14" s="25"/>
      <c r="AL14" s="11"/>
      <c r="AM14" s="11"/>
      <c r="AN14" s="11">
        <v>-61.965000000000003</v>
      </c>
      <c r="AO14" s="29">
        <v>-135</v>
      </c>
      <c r="AP14" s="25"/>
      <c r="AQ14" s="11"/>
      <c r="AR14" s="11"/>
      <c r="AS14" s="11">
        <v>-18.36</v>
      </c>
      <c r="AT14" s="29">
        <v>-40</v>
      </c>
      <c r="AU14" s="25"/>
      <c r="AV14" s="11"/>
      <c r="AW14" s="11"/>
      <c r="AX14" s="11">
        <v>92.259</v>
      </c>
      <c r="AY14" s="29">
        <v>201</v>
      </c>
      <c r="AZ14" s="25"/>
      <c r="BA14" s="11"/>
      <c r="BB14" s="11"/>
      <c r="BC14" s="11">
        <v>-5.5080000000000027</v>
      </c>
      <c r="BD14" s="29">
        <v>-12</v>
      </c>
      <c r="BE14" s="25"/>
      <c r="BF14" s="11"/>
      <c r="BG14" s="11"/>
      <c r="BH14" s="11">
        <v>33.966000000000008</v>
      </c>
      <c r="BI14" s="29">
        <v>74</v>
      </c>
      <c r="BJ14" s="25"/>
      <c r="BK14" s="11"/>
      <c r="BL14" s="11"/>
      <c r="BM14" s="11">
        <v>-1.3769999999999989</v>
      </c>
      <c r="BN14" s="29">
        <v>-3</v>
      </c>
      <c r="BO14" s="25"/>
      <c r="BP14" s="11"/>
      <c r="BQ14" s="11"/>
      <c r="BR14" s="11">
        <v>-179.46899999999999</v>
      </c>
      <c r="BS14" s="29">
        <v>-391</v>
      </c>
      <c r="BT14" s="25"/>
      <c r="BU14" s="11"/>
      <c r="BV14" s="11"/>
      <c r="BW14" s="11">
        <v>100.52100000000002</v>
      </c>
      <c r="BX14" s="29">
        <v>219</v>
      </c>
      <c r="BY14" s="25"/>
      <c r="BZ14" s="11"/>
      <c r="CA14" s="11"/>
      <c r="CB14" s="11">
        <v>-170.28899999999999</v>
      </c>
      <c r="CC14" s="29">
        <v>-371</v>
      </c>
      <c r="CD14" s="25"/>
      <c r="CE14" s="11"/>
      <c r="CF14" s="11"/>
      <c r="CG14" s="11">
        <v>-41.769000000000005</v>
      </c>
      <c r="CH14" s="85">
        <v>-91</v>
      </c>
    </row>
    <row r="15" spans="3:86" x14ac:dyDescent="0.25">
      <c r="C15" s="35" t="s">
        <v>34</v>
      </c>
      <c r="D15" s="11"/>
      <c r="E15" s="54"/>
      <c r="F15" s="29" t="s">
        <v>31</v>
      </c>
      <c r="G15" s="31"/>
      <c r="H15" s="32"/>
      <c r="I15" s="31"/>
      <c r="J15" s="11"/>
      <c r="K15" s="32"/>
      <c r="L15" s="31"/>
      <c r="M15" s="11"/>
      <c r="N15" s="11"/>
      <c r="O15" s="17"/>
      <c r="P15" s="29">
        <f>[1]LH1!J15-[1]LH1!H15</f>
        <v>167.12999999999988</v>
      </c>
      <c r="Q15" s="25"/>
      <c r="R15" s="11"/>
      <c r="S15" s="11"/>
      <c r="T15" s="11"/>
      <c r="U15" s="29">
        <f>[1]LH2!$J15-[1]LH2!$H15</f>
        <v>0</v>
      </c>
      <c r="V15" s="25"/>
      <c r="W15" s="11"/>
      <c r="X15" s="11"/>
      <c r="Y15" s="11"/>
      <c r="Z15" s="29"/>
      <c r="AA15" s="25"/>
      <c r="AB15" s="11"/>
      <c r="AC15" s="11"/>
      <c r="AD15" s="11"/>
      <c r="AE15" s="29"/>
      <c r="AF15" s="25"/>
      <c r="AG15" s="11"/>
      <c r="AH15" s="11"/>
      <c r="AI15" s="11"/>
      <c r="AJ15" s="29"/>
      <c r="AK15" s="25"/>
      <c r="AL15" s="11"/>
      <c r="AM15" s="11"/>
      <c r="AN15" s="11">
        <v>0</v>
      </c>
      <c r="AO15" s="29"/>
      <c r="AP15" s="25"/>
      <c r="AQ15" s="11"/>
      <c r="AR15" s="11"/>
      <c r="AS15" s="11">
        <v>0</v>
      </c>
      <c r="AT15" s="29">
        <v>-1266</v>
      </c>
      <c r="AU15" s="25"/>
      <c r="AV15" s="11"/>
      <c r="AW15" s="11"/>
      <c r="AX15" s="11"/>
      <c r="AY15" s="29"/>
      <c r="AZ15" s="25"/>
      <c r="BA15" s="11"/>
      <c r="BB15" s="11"/>
      <c r="BC15" s="11">
        <v>0</v>
      </c>
      <c r="BD15" s="29"/>
      <c r="BE15" s="25"/>
      <c r="BF15" s="11"/>
      <c r="BG15" s="11"/>
      <c r="BH15" s="11"/>
      <c r="BI15" s="29"/>
      <c r="BJ15" s="25"/>
      <c r="BK15" s="11"/>
      <c r="BL15" s="11"/>
      <c r="BM15" s="11"/>
      <c r="BN15" s="29"/>
      <c r="BO15" s="25"/>
      <c r="BP15" s="11"/>
      <c r="BQ15" s="11"/>
      <c r="BR15" s="11"/>
      <c r="BS15" s="29"/>
      <c r="BT15" s="25"/>
      <c r="BU15" s="11"/>
      <c r="BV15" s="11"/>
      <c r="BW15" s="11"/>
      <c r="BX15" s="29"/>
      <c r="BY15" s="25"/>
      <c r="BZ15" s="11"/>
      <c r="CA15" s="11"/>
      <c r="CB15" s="11"/>
      <c r="CC15" s="29"/>
      <c r="CD15" s="25"/>
      <c r="CE15" s="11"/>
      <c r="CF15" s="11"/>
      <c r="CG15" s="11"/>
      <c r="CH15" s="85"/>
    </row>
    <row r="16" spans="3:86" x14ac:dyDescent="0.25">
      <c r="C16" s="35" t="s">
        <v>35</v>
      </c>
      <c r="D16" s="11"/>
      <c r="E16" s="54"/>
      <c r="F16" s="29" t="s">
        <v>31</v>
      </c>
      <c r="G16" s="31"/>
      <c r="H16" s="32"/>
      <c r="I16" s="31"/>
      <c r="J16" s="11"/>
      <c r="K16" s="32"/>
      <c r="L16" s="31"/>
      <c r="M16" s="11"/>
      <c r="N16" s="11"/>
      <c r="O16" s="17"/>
      <c r="P16" s="29">
        <f>[1]LH1!J16-[1]LH1!H16</f>
        <v>71.819999999999979</v>
      </c>
      <c r="Q16" s="25"/>
      <c r="R16" s="11"/>
      <c r="S16" s="11"/>
      <c r="T16" s="11"/>
      <c r="U16" s="29">
        <f>[1]LH2!$J16-[1]LH2!$H16</f>
        <v>36</v>
      </c>
      <c r="V16" s="25"/>
      <c r="W16" s="11"/>
      <c r="X16" s="11"/>
      <c r="Y16" s="11"/>
      <c r="Z16" s="29"/>
      <c r="AA16" s="25"/>
      <c r="AB16" s="11"/>
      <c r="AC16" s="11"/>
      <c r="AD16" s="11"/>
      <c r="AE16" s="29"/>
      <c r="AF16" s="25"/>
      <c r="AG16" s="11"/>
      <c r="AH16" s="11"/>
      <c r="AI16" s="11"/>
      <c r="AJ16" s="29"/>
      <c r="AK16" s="25"/>
      <c r="AL16" s="11"/>
      <c r="AM16" s="11"/>
      <c r="AN16" s="11">
        <v>0</v>
      </c>
      <c r="AO16" s="29"/>
      <c r="AP16" s="25"/>
      <c r="AQ16" s="11"/>
      <c r="AR16" s="11"/>
      <c r="AS16" s="11">
        <v>0</v>
      </c>
      <c r="AT16" s="29">
        <v>216</v>
      </c>
      <c r="AU16" s="25"/>
      <c r="AV16" s="11"/>
      <c r="AW16" s="11"/>
      <c r="AX16" s="11"/>
      <c r="AY16" s="29"/>
      <c r="AZ16" s="25"/>
      <c r="BA16" s="11"/>
      <c r="BB16" s="11"/>
      <c r="BC16" s="11">
        <v>0</v>
      </c>
      <c r="BD16" s="29"/>
      <c r="BE16" s="25"/>
      <c r="BF16" s="11"/>
      <c r="BG16" s="11"/>
      <c r="BH16" s="11"/>
      <c r="BI16" s="29"/>
      <c r="BJ16" s="25"/>
      <c r="BK16" s="11"/>
      <c r="BL16" s="11"/>
      <c r="BM16" s="11"/>
      <c r="BN16" s="29"/>
      <c r="BO16" s="25"/>
      <c r="BP16" s="11"/>
      <c r="BQ16" s="11"/>
      <c r="BR16" s="11"/>
      <c r="BS16" s="29"/>
      <c r="BT16" s="25"/>
      <c r="BU16" s="11"/>
      <c r="BV16" s="11"/>
      <c r="BW16" s="11"/>
      <c r="BX16" s="29"/>
      <c r="BY16" s="25"/>
      <c r="BZ16" s="11"/>
      <c r="CA16" s="11"/>
      <c r="CB16" s="11"/>
      <c r="CC16" s="29"/>
      <c r="CD16" s="25"/>
      <c r="CE16" s="11"/>
      <c r="CF16" s="11"/>
      <c r="CG16" s="11"/>
      <c r="CH16" s="85"/>
    </row>
    <row r="17" spans="3:86" x14ac:dyDescent="0.25">
      <c r="C17" s="35" t="s">
        <v>36</v>
      </c>
      <c r="D17" s="11"/>
      <c r="E17" s="54"/>
      <c r="F17" s="29" t="s">
        <v>31</v>
      </c>
      <c r="G17" s="31"/>
      <c r="H17" s="32"/>
      <c r="I17" s="31"/>
      <c r="J17" s="11"/>
      <c r="K17" s="32"/>
      <c r="L17" s="31"/>
      <c r="M17" s="11"/>
      <c r="N17" s="11"/>
      <c r="O17" s="17"/>
      <c r="P17" s="29">
        <f>[1]LH1!J17-[1]LH1!H17</f>
        <v>1.7775000000000007</v>
      </c>
      <c r="Q17" s="25"/>
      <c r="R17" s="11"/>
      <c r="S17" s="11"/>
      <c r="T17" s="11"/>
      <c r="U17" s="29">
        <f>[1]LH2!$J17-[1]LH2!$H17</f>
        <v>-5994</v>
      </c>
      <c r="V17" s="25"/>
      <c r="W17" s="11"/>
      <c r="X17" s="11"/>
      <c r="Y17" s="11"/>
      <c r="Z17" s="29"/>
      <c r="AA17" s="25"/>
      <c r="AB17" s="11"/>
      <c r="AC17" s="11"/>
      <c r="AD17" s="11"/>
      <c r="AE17" s="29"/>
      <c r="AF17" s="25"/>
      <c r="AG17" s="11"/>
      <c r="AH17" s="11"/>
      <c r="AI17" s="11"/>
      <c r="AJ17" s="29"/>
      <c r="AK17" s="25"/>
      <c r="AL17" s="11"/>
      <c r="AM17" s="11"/>
      <c r="AN17" s="11">
        <v>0</v>
      </c>
      <c r="AO17" s="29"/>
      <c r="AP17" s="25"/>
      <c r="AQ17" s="11"/>
      <c r="AR17" s="11"/>
      <c r="AS17" s="11">
        <v>0</v>
      </c>
      <c r="AT17" s="29">
        <v>0</v>
      </c>
      <c r="AU17" s="25"/>
      <c r="AV17" s="11"/>
      <c r="AW17" s="11"/>
      <c r="AX17" s="11"/>
      <c r="AY17" s="29"/>
      <c r="AZ17" s="25"/>
      <c r="BA17" s="11"/>
      <c r="BB17" s="11"/>
      <c r="BC17" s="11">
        <v>0</v>
      </c>
      <c r="BD17" s="29"/>
      <c r="BE17" s="25"/>
      <c r="BF17" s="11"/>
      <c r="BG17" s="11"/>
      <c r="BH17" s="11"/>
      <c r="BI17" s="29"/>
      <c r="BJ17" s="25"/>
      <c r="BK17" s="11"/>
      <c r="BL17" s="11"/>
      <c r="BM17" s="11"/>
      <c r="BN17" s="29"/>
      <c r="BO17" s="25"/>
      <c r="BP17" s="11"/>
      <c r="BQ17" s="11"/>
      <c r="BR17" s="11"/>
      <c r="BS17" s="29"/>
      <c r="BT17" s="25"/>
      <c r="BU17" s="11"/>
      <c r="BV17" s="11"/>
      <c r="BW17" s="11"/>
      <c r="BX17" s="29"/>
      <c r="BY17" s="25"/>
      <c r="BZ17" s="11"/>
      <c r="CA17" s="11"/>
      <c r="CB17" s="11"/>
      <c r="CC17" s="29"/>
      <c r="CD17" s="25"/>
      <c r="CE17" s="11"/>
      <c r="CF17" s="11"/>
      <c r="CG17" s="11"/>
      <c r="CH17" s="85"/>
    </row>
    <row r="18" spans="3:86" s="22" customFormat="1" ht="16.5" customHeight="1" x14ac:dyDescent="0.25">
      <c r="C18" s="34" t="s">
        <v>37</v>
      </c>
      <c r="D18" s="19">
        <v>1.04871</v>
      </c>
      <c r="E18" s="53">
        <v>7</v>
      </c>
      <c r="F18" s="23">
        <v>2.6581000000000001</v>
      </c>
      <c r="G18" s="20">
        <v>1.6199999999999999E-2</v>
      </c>
      <c r="H18" s="21">
        <v>7.0758999999999999</v>
      </c>
      <c r="I18" s="20">
        <f>_xlfn.T.INV.2T(0.05,(E18-1))</f>
        <v>2.4469118511449697</v>
      </c>
      <c r="J18" s="19">
        <f>$D18-$I18*$F18/SQRT($E18)</f>
        <v>-1.4096224836041851</v>
      </c>
      <c r="K18" s="19">
        <f>$D18+$I18*$F18/SQRT($E18)</f>
        <v>3.5070424836041854</v>
      </c>
      <c r="L18" s="19"/>
      <c r="M18" s="19">
        <f>$J$18*P18</f>
        <v>-124.04677855716828</v>
      </c>
      <c r="N18" s="19">
        <f>$K$18*P18</f>
        <v>308.61973855716832</v>
      </c>
      <c r="O18" s="17"/>
      <c r="P18" s="23">
        <f>[1]LH1!J18-[1]LH1!H18</f>
        <v>88</v>
      </c>
      <c r="Q18" s="25"/>
      <c r="R18" s="19">
        <f t="shared" si="0"/>
        <v>-18.325092286854407</v>
      </c>
      <c r="S18" s="19">
        <f t="shared" si="1"/>
        <v>45.591552286854409</v>
      </c>
      <c r="T18" s="19">
        <v>0.71879043080176075</v>
      </c>
      <c r="U18" s="23">
        <f>[1]LH2!$J18-[1]LH2!$H18</f>
        <v>13</v>
      </c>
      <c r="V18" s="25"/>
      <c r="W18" s="19">
        <f t="shared" ref="W18:W20" si="2">MIN($J18*Z18,$K18*Z18)</f>
        <v>-580.76446324492429</v>
      </c>
      <c r="X18" s="19">
        <f t="shared" ref="X18:X20" si="3">MAX($J18*Z18,$K18*Z18)</f>
        <v>1444.9015032449245</v>
      </c>
      <c r="Y18" s="19"/>
      <c r="Z18" s="23">
        <v>412</v>
      </c>
      <c r="AA18" s="25"/>
      <c r="AB18" s="19">
        <f>MIN($J18*AE18,$K18*AE18)</f>
        <v>-4.2288674508125554</v>
      </c>
      <c r="AC18" s="19">
        <f t="shared" ref="AC18:AC20" si="4">MAX($J18*AE18,$K18*AE18)</f>
        <v>10.521127450812557</v>
      </c>
      <c r="AD18" s="19"/>
      <c r="AE18" s="23">
        <v>3</v>
      </c>
      <c r="AF18" s="25"/>
      <c r="AG18" s="19">
        <f>MIN($J18*AJ18,$K18*AJ18)</f>
        <v>-273.54931372112645</v>
      </c>
      <c r="AH18" s="19">
        <f>MAX($J18*AJ18,$K18*AJ18)</f>
        <v>109.95055372112644</v>
      </c>
      <c r="AI18" s="19"/>
      <c r="AJ18" s="23">
        <v>-78</v>
      </c>
      <c r="AK18" s="25"/>
      <c r="AL18" s="19">
        <f>MIN($J18*AO18,$K18*AO18)</f>
        <v>-610.22539214712822</v>
      </c>
      <c r="AM18" s="19">
        <f>MAX($J18*AO18,$K18*AO18)</f>
        <v>245.2743121471282</v>
      </c>
      <c r="AN18" s="19"/>
      <c r="AO18" s="23">
        <v>-174</v>
      </c>
      <c r="AP18" s="25"/>
      <c r="AQ18" s="19">
        <f>MIN($J18*AT18,$K18*AT18)</f>
        <v>-143.78874182777159</v>
      </c>
      <c r="AR18" s="19">
        <f>MAX($J18*AT18,$K18*AT18)</f>
        <v>57.79452182777159</v>
      </c>
      <c r="AS18" s="19"/>
      <c r="AT18" s="23">
        <v>-41</v>
      </c>
      <c r="AU18" s="25"/>
      <c r="AV18" s="19">
        <f>MIN($J18*AY18,$K18*AY18)</f>
        <v>-694.94388441686328</v>
      </c>
      <c r="AW18" s="19">
        <f>MAX($J18*AY18,$K18*AY18)</f>
        <v>1728.9719444168634</v>
      </c>
      <c r="AX18" s="19">
        <v>0.1224454981510833</v>
      </c>
      <c r="AY18" s="23">
        <v>493</v>
      </c>
      <c r="AZ18" s="25"/>
      <c r="BA18" s="19">
        <f>MIN($J18*BD18,$K18*BD18)</f>
        <v>-435.57334743369319</v>
      </c>
      <c r="BB18" s="19">
        <f>MAX($J18*BD18,$K18*BD18)</f>
        <v>1083.6761274336932</v>
      </c>
      <c r="BC18" s="19">
        <v>7.5225996881026602E-2</v>
      </c>
      <c r="BD18" s="23">
        <v>309</v>
      </c>
      <c r="BE18" s="25"/>
      <c r="BF18" s="19">
        <f>MIN($J18*BI18,$K18*BI18)</f>
        <v>-675.20916964640469</v>
      </c>
      <c r="BG18" s="19">
        <f>MAX($J18*BI18,$K18*BI18)</f>
        <v>1679.8733496464047</v>
      </c>
      <c r="BH18" s="19">
        <v>0.11878719130822135</v>
      </c>
      <c r="BI18" s="23">
        <v>479</v>
      </c>
      <c r="BJ18" s="25"/>
      <c r="BK18" s="19">
        <f>MIN($J18*BN18,$K18*BN18)</f>
        <v>-107.13130875391806</v>
      </c>
      <c r="BL18" s="19">
        <f>MAX($J18*BN18,$K18*BN18)</f>
        <v>266.53522875391809</v>
      </c>
      <c r="BM18" s="19">
        <v>1.361773408447467E-3</v>
      </c>
      <c r="BN18" s="23">
        <v>76</v>
      </c>
      <c r="BO18" s="25"/>
      <c r="BP18" s="19">
        <f>MIN($J18*BS18,$K18*BS18)</f>
        <v>-95.854328885084584</v>
      </c>
      <c r="BQ18" s="19">
        <f>MAX($J18*BS18,$K18*BS18)</f>
        <v>238.47888888508461</v>
      </c>
      <c r="BR18" s="19">
        <v>1.400073109723482E-3</v>
      </c>
      <c r="BS18" s="23">
        <v>68</v>
      </c>
      <c r="BT18" s="25"/>
      <c r="BU18" s="19">
        <f>MIN($J18*BX18,$K18*BX18)</f>
        <v>-1150.3099346221727</v>
      </c>
      <c r="BV18" s="19">
        <f>MAX($J18*BX18,$K18*BX18)</f>
        <v>462.35617462217272</v>
      </c>
      <c r="BW18" s="19">
        <v>-491.64509836320303</v>
      </c>
      <c r="BX18" s="23">
        <v>-328</v>
      </c>
      <c r="BY18" s="25"/>
      <c r="BZ18" s="19">
        <f>MIN($J18*CC18,$K18*CC18)</f>
        <v>-974.95781044196349</v>
      </c>
      <c r="CA18" s="19">
        <f>MAX($J18*CC18,$K18*CC18)</f>
        <v>391.87505044196342</v>
      </c>
      <c r="CB18" s="19">
        <v>-418.90957428066213</v>
      </c>
      <c r="CC18" s="23">
        <v>-278</v>
      </c>
      <c r="CD18" s="25"/>
      <c r="CE18" s="19">
        <f>MIN($J18*CH18,$K18*CH18)</f>
        <v>-613.73243463073243</v>
      </c>
      <c r="CF18" s="19">
        <f>MAX($J18*CH18,$K18*CH18)</f>
        <v>246.68393463073238</v>
      </c>
      <c r="CG18" s="19">
        <v>-0.26562632300303779</v>
      </c>
      <c r="CH18" s="86">
        <v>-175</v>
      </c>
    </row>
    <row r="19" spans="3:86" s="22" customFormat="1" x14ac:dyDescent="0.25">
      <c r="C19" s="34" t="s">
        <v>38</v>
      </c>
      <c r="D19" s="19"/>
      <c r="E19" s="88"/>
      <c r="F19" s="63"/>
      <c r="J19" s="19"/>
      <c r="K19" s="21"/>
      <c r="L19" s="20"/>
      <c r="M19" s="19"/>
      <c r="N19" s="19"/>
      <c r="O19" s="17"/>
      <c r="P19" s="23"/>
      <c r="Q19" s="25"/>
      <c r="R19" s="19"/>
      <c r="S19" s="19"/>
      <c r="T19" s="19"/>
      <c r="U19" s="23"/>
      <c r="V19" s="25"/>
      <c r="W19" s="19">
        <f t="shared" si="2"/>
        <v>0</v>
      </c>
      <c r="X19" s="19">
        <f t="shared" si="3"/>
        <v>0</v>
      </c>
      <c r="Y19" s="19"/>
      <c r="Z19" s="23"/>
      <c r="AA19" s="25"/>
      <c r="AB19" s="19">
        <f t="shared" ref="AB19:AB20" si="5">MIN($J19*AE19,$K19*AE19)</f>
        <v>0</v>
      </c>
      <c r="AC19" s="19">
        <f t="shared" si="4"/>
        <v>0</v>
      </c>
      <c r="AD19" s="19"/>
      <c r="AE19" s="23"/>
      <c r="AF19" s="25"/>
      <c r="AG19" s="19">
        <f>MIN($J19*AJ19,$K19*AJ19)</f>
        <v>0</v>
      </c>
      <c r="AH19" s="19">
        <f>MAX($J19*AJ19,$K19*AJ19)</f>
        <v>0</v>
      </c>
      <c r="AI19" s="19"/>
      <c r="AJ19" s="23"/>
      <c r="AK19" s="25"/>
      <c r="AL19" s="19">
        <f>MIN($J19*AO19,$K19*AO19)</f>
        <v>0</v>
      </c>
      <c r="AM19" s="19">
        <f>MAX($J19*AO19,$K19*AO19)</f>
        <v>0</v>
      </c>
      <c r="AN19" s="19"/>
      <c r="AO19" s="23"/>
      <c r="AP19" s="25"/>
      <c r="AQ19" s="19">
        <f>MIN($J19*AT19,$K19*AT19)</f>
        <v>0</v>
      </c>
      <c r="AR19" s="19">
        <f>MAX($J19*AT19,$K19*AT19)</f>
        <v>0</v>
      </c>
      <c r="AS19" s="19"/>
      <c r="AT19" s="23"/>
      <c r="AU19" s="25"/>
      <c r="AV19" s="19">
        <f>MIN($J19*AY19,$K19*AY19)</f>
        <v>0</v>
      </c>
      <c r="AW19" s="19">
        <f>MAX($J19*AY19,$K19*AY19)</f>
        <v>0</v>
      </c>
      <c r="AX19" s="19"/>
      <c r="AY19" s="23"/>
      <c r="AZ19" s="25"/>
      <c r="BA19" s="19">
        <f>MIN($J19*BD19,$K19*BD19)</f>
        <v>0</v>
      </c>
      <c r="BB19" s="19">
        <f>MAX($J19*BD19,$K19*BD19)</f>
        <v>0</v>
      </c>
      <c r="BC19" s="19">
        <v>0</v>
      </c>
      <c r="BD19" s="23"/>
      <c r="BE19" s="25"/>
      <c r="BF19" s="19">
        <f>MIN($J19*BI19,$K19*BI19)</f>
        <v>0</v>
      </c>
      <c r="BG19" s="19">
        <f>MAX($J19*BI19,$K19*BI19)</f>
        <v>0</v>
      </c>
      <c r="BH19" s="19"/>
      <c r="BI19" s="23"/>
      <c r="BJ19" s="25"/>
      <c r="BK19" s="19">
        <f>MIN($J19*BN19,$K19*BN19)</f>
        <v>0</v>
      </c>
      <c r="BL19" s="19">
        <f>MAX($J19*BN19,$K19*BN19)</f>
        <v>0</v>
      </c>
      <c r="BM19" s="19"/>
      <c r="BN19" s="23"/>
      <c r="BO19" s="25"/>
      <c r="BP19" s="19">
        <f>MIN($J19*BS19,$K19*BS19)</f>
        <v>0</v>
      </c>
      <c r="BQ19" s="19">
        <f>MAX($J19*BS19,$K19*BS19)</f>
        <v>0</v>
      </c>
      <c r="BR19" s="19"/>
      <c r="BS19" s="23"/>
      <c r="BT19" s="25"/>
      <c r="BU19" s="19">
        <f>MIN($J19*BX19,$K19*BX19)</f>
        <v>0</v>
      </c>
      <c r="BV19" s="19">
        <f>MAX($J19*BX19,$K19*BX19)</f>
        <v>0</v>
      </c>
      <c r="BW19" s="19"/>
      <c r="BX19" s="23"/>
      <c r="BY19" s="25"/>
      <c r="BZ19" s="19">
        <f>MIN($J19*CC19,$K19*CC19)</f>
        <v>0</v>
      </c>
      <c r="CA19" s="19">
        <f>MAX($J19*CC19,$K19*CC19)</f>
        <v>0</v>
      </c>
      <c r="CB19" s="19"/>
      <c r="CC19" s="23"/>
      <c r="CD19" s="25"/>
      <c r="CE19" s="19">
        <f>MIN($J19*CH19,$K19*CH19)</f>
        <v>0</v>
      </c>
      <c r="CF19" s="19">
        <f>MAX($J19*CH19,$K19*CH19)</f>
        <v>0</v>
      </c>
      <c r="CG19" s="19"/>
      <c r="CH19" s="86"/>
    </row>
    <row r="20" spans="3:86" s="22" customFormat="1" ht="18" customHeight="1" thickBot="1" x14ac:dyDescent="0.3">
      <c r="C20" s="38" t="s">
        <v>39</v>
      </c>
      <c r="D20" s="89">
        <v>0.14530000000000001</v>
      </c>
      <c r="E20" s="90">
        <v>5</v>
      </c>
      <c r="F20" s="91">
        <v>6.8739999999999996E-2</v>
      </c>
      <c r="G20" s="92">
        <v>9.0179200000000001E-2</v>
      </c>
      <c r="H20" s="93">
        <v>0.26205699999999998</v>
      </c>
      <c r="I20" s="92">
        <f>_xlfn.T.INV.2T(0.05,(E20-1))</f>
        <v>2.7764451051977934</v>
      </c>
      <c r="J20" s="89">
        <f>$D20-$I20*$F20/SQRT($E20)</f>
        <v>5.9948016763473277E-2</v>
      </c>
      <c r="K20" s="89">
        <f>$D20+$I20*$F20/SQRT($E20)</f>
        <v>0.23065198323652675</v>
      </c>
      <c r="L20" s="89"/>
      <c r="M20" s="89">
        <f>$J$20*P20</f>
        <v>0.35968810058083966</v>
      </c>
      <c r="N20" s="89">
        <f>$K$20*P20</f>
        <v>1.3839118994191604</v>
      </c>
      <c r="O20" s="94"/>
      <c r="P20" s="91">
        <f>[1]LH1!J20-[1]LH1!H20</f>
        <v>6</v>
      </c>
      <c r="Q20" s="95"/>
      <c r="R20" s="89">
        <f t="shared" si="0"/>
        <v>-14.300422960664658</v>
      </c>
      <c r="S20" s="89">
        <f t="shared" si="1"/>
        <v>-3.7167770393353434</v>
      </c>
      <c r="T20" s="89">
        <v>16.367999999999967</v>
      </c>
      <c r="U20" s="91">
        <f>[1]LH2!$J20-[1]LH2!$H20</f>
        <v>-62</v>
      </c>
      <c r="V20" s="95"/>
      <c r="W20" s="89">
        <f t="shared" si="2"/>
        <v>-15.684334860083819</v>
      </c>
      <c r="X20" s="89">
        <f t="shared" si="3"/>
        <v>-4.0764651399161824</v>
      </c>
      <c r="Y20" s="89"/>
      <c r="Z20" s="91">
        <v>-68</v>
      </c>
      <c r="AA20" s="95"/>
      <c r="AB20" s="89">
        <f t="shared" si="5"/>
        <v>-13.839118994191605</v>
      </c>
      <c r="AC20" s="89">
        <f t="shared" si="4"/>
        <v>-3.5968810058083966</v>
      </c>
      <c r="AD20" s="89"/>
      <c r="AE20" s="91">
        <v>-60</v>
      </c>
      <c r="AF20" s="95"/>
      <c r="AG20" s="89">
        <f>MIN($J20*AJ20,$K20*AJ20)</f>
        <v>-11.30194717858981</v>
      </c>
      <c r="AH20" s="89">
        <f>MAX($J20*AJ20,$K20*AJ20)</f>
        <v>-2.9374528214101905</v>
      </c>
      <c r="AI20" s="89"/>
      <c r="AJ20" s="91">
        <v>-49</v>
      </c>
      <c r="AK20" s="95"/>
      <c r="AL20" s="89">
        <f>MIN($J20*AO20,$K20*AO20)</f>
        <v>-11.99390312829939</v>
      </c>
      <c r="AM20" s="89">
        <f>MAX($J20*AO20,$K20*AO20)</f>
        <v>-3.1172968717006104</v>
      </c>
      <c r="AN20" s="89"/>
      <c r="AO20" s="91">
        <v>-52</v>
      </c>
      <c r="AP20" s="95"/>
      <c r="AQ20" s="89">
        <f>MIN($J20*AT20,$K20*AT20)</f>
        <v>-13.377815027718551</v>
      </c>
      <c r="AR20" s="89">
        <f>MAX($J20*AT20,$K20*AT20)</f>
        <v>-3.4769849722814499</v>
      </c>
      <c r="AS20" s="89"/>
      <c r="AT20" s="91">
        <v>-58</v>
      </c>
      <c r="AU20" s="95"/>
      <c r="AV20" s="89">
        <f>MIN($J20*AY20,$K20*AY20)</f>
        <v>0.35968810058083966</v>
      </c>
      <c r="AW20" s="89">
        <f>MAX($J20*AY20,$K20*AY20)</f>
        <v>1.3839118994191604</v>
      </c>
      <c r="AX20" s="89">
        <v>-15.263999999999982</v>
      </c>
      <c r="AY20" s="91">
        <v>6</v>
      </c>
      <c r="AZ20" s="95"/>
      <c r="BA20" s="89">
        <f>MIN($J20*BD20,$K20*BD20)</f>
        <v>-2.0758678491287408</v>
      </c>
      <c r="BB20" s="89">
        <f>MAX($J20*BD20,$K20*BD20)</f>
        <v>-0.5395321508712595</v>
      </c>
      <c r="BC20" s="89">
        <v>26.945999999999998</v>
      </c>
      <c r="BD20" s="91">
        <v>-9</v>
      </c>
      <c r="BE20" s="95"/>
      <c r="BF20" s="89">
        <f>MIN($J20*BI20,$K20*BI20)</f>
        <v>5.9948016763473277E-2</v>
      </c>
      <c r="BG20" s="89">
        <f>MAX($J20*BI20,$K20*BI20)</f>
        <v>0.23065198323652675</v>
      </c>
      <c r="BH20" s="89">
        <v>-2.6939999999999884</v>
      </c>
      <c r="BI20" s="91">
        <v>1</v>
      </c>
      <c r="BJ20" s="95"/>
      <c r="BK20" s="89">
        <f>MIN($J20*BN20,$K20*BN20)</f>
        <v>-3.2291277653113744</v>
      </c>
      <c r="BL20" s="89">
        <f>MAX($J20*BN20,$K20*BN20)</f>
        <v>-0.83927223468862588</v>
      </c>
      <c r="BM20" s="89">
        <v>34.77600000000001</v>
      </c>
      <c r="BN20" s="91">
        <v>-14</v>
      </c>
      <c r="BO20" s="95"/>
      <c r="BP20" s="89">
        <f>MIN($J20*BS20,$K20*BS20)</f>
        <v>-0.92260793294610699</v>
      </c>
      <c r="BQ20" s="89">
        <f>MAX($J20*BS20,$K20*BS20)</f>
        <v>-0.23979206705389311</v>
      </c>
      <c r="BR20" s="89">
        <v>13.775999999999996</v>
      </c>
      <c r="BS20" s="91">
        <v>-4</v>
      </c>
      <c r="BT20" s="95"/>
      <c r="BU20" s="89">
        <f>MIN($J20*BX20,$K20*BX20)</f>
        <v>-11.30194717858981</v>
      </c>
      <c r="BV20" s="89">
        <f>MAX($J20*BX20,$K20*BX20)</f>
        <v>-2.9374528214101905</v>
      </c>
      <c r="BW20" s="89">
        <v>55.566000000000003</v>
      </c>
      <c r="BX20" s="91">
        <v>-49</v>
      </c>
      <c r="BY20" s="95"/>
      <c r="BZ20" s="89">
        <f>MIN($J20*CC20,$K20*CC20)</f>
        <v>-5.5356475976766415</v>
      </c>
      <c r="CA20" s="89">
        <f>MAX($J20*CC20,$K20*CC20)</f>
        <v>-1.4387524023233587</v>
      </c>
      <c r="CB20" s="89">
        <v>9.2160000000000082</v>
      </c>
      <c r="CC20" s="91">
        <v>-24</v>
      </c>
      <c r="CD20" s="95"/>
      <c r="CE20" s="89">
        <f>MIN($J20*CH20,$K20*CH20)</f>
        <v>-1.3839118994191604</v>
      </c>
      <c r="CF20" s="89">
        <f>MAX($J20*CH20,$K20*CH20)</f>
        <v>-0.35968810058083966</v>
      </c>
      <c r="CG20" s="89">
        <v>8.4239999999999782</v>
      </c>
      <c r="CH20" s="96">
        <v>-6</v>
      </c>
    </row>
    <row r="21" spans="3:86" ht="15.75" thickBot="1" x14ac:dyDescent="0.3">
      <c r="C21" s="35" t="s">
        <v>40</v>
      </c>
      <c r="D21" s="11"/>
      <c r="E21" s="54"/>
      <c r="F21" s="29" t="s">
        <v>31</v>
      </c>
      <c r="G21" s="31"/>
      <c r="H21" s="32"/>
      <c r="I21" s="31"/>
      <c r="J21" s="11"/>
      <c r="K21" s="32"/>
      <c r="L21" s="31"/>
      <c r="M21" s="11"/>
      <c r="N21" s="11"/>
      <c r="O21" s="39">
        <v>-368.16</v>
      </c>
      <c r="P21" s="29">
        <f>[1]LH1!J21-[1]LH1!H21</f>
        <v>-6</v>
      </c>
      <c r="Q21" s="25"/>
      <c r="R21" s="11"/>
      <c r="S21" s="11"/>
      <c r="T21" s="11">
        <v>3804.32</v>
      </c>
      <c r="U21" s="29">
        <f>[1]LH2!$J21-[1]LH2!$H21</f>
        <v>62</v>
      </c>
      <c r="V21" s="25"/>
      <c r="W21" s="11"/>
      <c r="X21" s="11"/>
      <c r="Y21" s="11">
        <v>2761.2000000000003</v>
      </c>
      <c r="Z21" s="29">
        <v>45</v>
      </c>
      <c r="AA21" s="25"/>
      <c r="AB21" s="11"/>
      <c r="AC21" s="11"/>
      <c r="AD21" s="11">
        <v>3374.8</v>
      </c>
      <c r="AE21" s="29">
        <v>55</v>
      </c>
      <c r="AF21" s="25"/>
      <c r="AG21" s="11"/>
      <c r="AH21" s="11"/>
      <c r="AI21" s="11">
        <v>2699.84</v>
      </c>
      <c r="AJ21" s="29">
        <v>44</v>
      </c>
      <c r="AK21" s="25"/>
      <c r="AL21" s="11"/>
      <c r="AM21" s="11"/>
      <c r="AN21" s="11">
        <v>2883.92</v>
      </c>
      <c r="AO21" s="29">
        <v>47</v>
      </c>
      <c r="AP21" s="25"/>
      <c r="AQ21" s="11"/>
      <c r="AR21" s="11"/>
      <c r="AS21" s="11">
        <v>3252.08</v>
      </c>
      <c r="AT21" s="29">
        <v>53</v>
      </c>
      <c r="AU21" s="25"/>
      <c r="AV21" s="11"/>
      <c r="AW21" s="11"/>
      <c r="AX21" s="11">
        <v>-368.16000000000031</v>
      </c>
      <c r="AY21" s="29">
        <v>-6</v>
      </c>
      <c r="AZ21" s="25"/>
      <c r="BA21" s="11"/>
      <c r="BB21" s="11"/>
      <c r="BC21" s="11">
        <v>552.23999999999978</v>
      </c>
      <c r="BD21" s="29">
        <v>9</v>
      </c>
      <c r="BE21" s="25"/>
      <c r="BF21" s="11"/>
      <c r="BG21" s="11"/>
      <c r="BH21" s="11">
        <v>-61.359999999999673</v>
      </c>
      <c r="BI21" s="29">
        <v>-1</v>
      </c>
      <c r="BJ21" s="25"/>
      <c r="BK21" s="11"/>
      <c r="BL21" s="11"/>
      <c r="BM21" s="11">
        <v>859.04</v>
      </c>
      <c r="BN21" s="29">
        <v>14</v>
      </c>
      <c r="BO21" s="25"/>
      <c r="BP21" s="11"/>
      <c r="BQ21" s="11"/>
      <c r="BR21" s="11">
        <v>245.44000000000051</v>
      </c>
      <c r="BS21" s="29">
        <v>4</v>
      </c>
      <c r="BT21" s="25"/>
      <c r="BU21" s="11"/>
      <c r="BV21" s="11"/>
      <c r="BW21" s="11">
        <v>3006.64</v>
      </c>
      <c r="BX21" s="29">
        <v>49</v>
      </c>
      <c r="BY21" s="25"/>
      <c r="BZ21" s="11"/>
      <c r="CA21" s="11"/>
      <c r="CB21" s="11">
        <v>1472.6399999999999</v>
      </c>
      <c r="CC21" s="29">
        <v>24</v>
      </c>
      <c r="CD21" s="25"/>
      <c r="CE21" s="11"/>
      <c r="CF21" s="11"/>
      <c r="CG21" s="11">
        <v>490.88000000000011</v>
      </c>
      <c r="CH21" s="108">
        <v>8</v>
      </c>
    </row>
    <row r="22" spans="3:86" ht="15.75" customHeight="1" x14ac:dyDescent="0.25">
      <c r="C22" s="41" t="s">
        <v>41</v>
      </c>
      <c r="D22" s="97"/>
      <c r="E22" s="98"/>
      <c r="F22" s="99" t="s">
        <v>31</v>
      </c>
      <c r="G22" s="100"/>
      <c r="H22" s="101"/>
      <c r="I22" s="100"/>
      <c r="J22" s="97"/>
      <c r="K22" s="101"/>
      <c r="L22" s="100"/>
      <c r="M22" s="97"/>
      <c r="N22" s="97"/>
      <c r="O22" s="82">
        <v>0</v>
      </c>
      <c r="P22" s="99">
        <f>[1]LH1!J22-[1]LH1!H22</f>
        <v>0</v>
      </c>
      <c r="Q22" s="83"/>
      <c r="R22" s="97"/>
      <c r="S22" s="97"/>
      <c r="T22" s="97">
        <v>0</v>
      </c>
      <c r="U22" s="99">
        <f>[1]LH2!$J22-[1]LH2!$H22</f>
        <v>0</v>
      </c>
      <c r="V22" s="83"/>
      <c r="W22" s="97"/>
      <c r="X22" s="97"/>
      <c r="Y22" s="97">
        <v>0</v>
      </c>
      <c r="Z22" s="99">
        <v>0</v>
      </c>
      <c r="AA22" s="83"/>
      <c r="AB22" s="97"/>
      <c r="AC22" s="97"/>
      <c r="AD22" s="97">
        <v>0</v>
      </c>
      <c r="AE22" s="99">
        <v>0</v>
      </c>
      <c r="AF22" s="83"/>
      <c r="AG22" s="97"/>
      <c r="AH22" s="97"/>
      <c r="AI22" s="97">
        <v>0</v>
      </c>
      <c r="AJ22" s="99">
        <v>0</v>
      </c>
      <c r="AK22" s="83"/>
      <c r="AL22" s="97"/>
      <c r="AM22" s="97"/>
      <c r="AN22" s="97">
        <v>0</v>
      </c>
      <c r="AO22" s="99">
        <v>0</v>
      </c>
      <c r="AP22" s="83"/>
      <c r="AQ22" s="97"/>
      <c r="AR22" s="97"/>
      <c r="AS22" s="97">
        <v>0</v>
      </c>
      <c r="AT22" s="99">
        <v>0</v>
      </c>
      <c r="AU22" s="83"/>
      <c r="AV22" s="97"/>
      <c r="AW22" s="97"/>
      <c r="AX22" s="97">
        <v>0</v>
      </c>
      <c r="AY22" s="99">
        <v>0</v>
      </c>
      <c r="AZ22" s="83"/>
      <c r="BA22" s="97"/>
      <c r="BB22" s="97"/>
      <c r="BC22" s="97">
        <v>0</v>
      </c>
      <c r="BD22" s="99">
        <v>0</v>
      </c>
      <c r="BE22" s="83"/>
      <c r="BF22" s="97"/>
      <c r="BG22" s="97"/>
      <c r="BH22" s="97">
        <v>0</v>
      </c>
      <c r="BI22" s="99">
        <v>0</v>
      </c>
      <c r="BJ22" s="83"/>
      <c r="BK22" s="97"/>
      <c r="BL22" s="97"/>
      <c r="BM22" s="97"/>
      <c r="BN22" s="99"/>
      <c r="BO22" s="83"/>
      <c r="BP22" s="97"/>
      <c r="BQ22" s="97"/>
      <c r="BR22" s="97">
        <v>0</v>
      </c>
      <c r="BS22" s="99">
        <v>0</v>
      </c>
      <c r="BT22" s="83"/>
      <c r="BU22" s="97"/>
      <c r="BV22" s="97"/>
      <c r="BW22" s="97">
        <v>0</v>
      </c>
      <c r="BX22" s="99">
        <v>0</v>
      </c>
      <c r="BY22" s="83"/>
      <c r="BZ22" s="97"/>
      <c r="CA22" s="97"/>
      <c r="CB22" s="97">
        <v>0</v>
      </c>
      <c r="CC22" s="99">
        <v>0</v>
      </c>
      <c r="CD22" s="83"/>
      <c r="CE22" s="97"/>
      <c r="CF22" s="97"/>
      <c r="CG22" s="97">
        <v>0</v>
      </c>
      <c r="CH22" s="102">
        <v>0</v>
      </c>
    </row>
    <row r="23" spans="3:86" x14ac:dyDescent="0.25">
      <c r="C23" s="35" t="s">
        <v>42</v>
      </c>
      <c r="D23" s="11"/>
      <c r="E23" s="54"/>
      <c r="F23" s="29" t="s">
        <v>31</v>
      </c>
      <c r="G23" s="31"/>
      <c r="H23" s="32"/>
      <c r="I23" s="31"/>
      <c r="J23" s="11"/>
      <c r="K23" s="32"/>
      <c r="L23" s="31"/>
      <c r="M23" s="11"/>
      <c r="N23" s="11"/>
      <c r="O23" s="17">
        <v>139.74</v>
      </c>
      <c r="P23" s="29">
        <f>[1]LH1!J23-[1]LH1!H23</f>
        <v>1</v>
      </c>
      <c r="Q23" s="25"/>
      <c r="R23" s="11"/>
      <c r="S23" s="11"/>
      <c r="T23" s="11">
        <v>139.74</v>
      </c>
      <c r="U23" s="29">
        <f>[1]LH2!$J23-[1]LH2!$H23</f>
        <v>1</v>
      </c>
      <c r="V23" s="25"/>
      <c r="W23" s="11"/>
      <c r="X23" s="11"/>
      <c r="Y23" s="11">
        <v>419.22</v>
      </c>
      <c r="Z23" s="29">
        <v>3</v>
      </c>
      <c r="AA23" s="25"/>
      <c r="AB23" s="11"/>
      <c r="AC23" s="11"/>
      <c r="AD23" s="11">
        <v>0</v>
      </c>
      <c r="AE23" s="29">
        <v>0</v>
      </c>
      <c r="AF23" s="25"/>
      <c r="AG23" s="11"/>
      <c r="AH23" s="11"/>
      <c r="AI23" s="11">
        <v>558.96</v>
      </c>
      <c r="AJ23" s="29">
        <v>4</v>
      </c>
      <c r="AK23" s="25"/>
      <c r="AL23" s="11"/>
      <c r="AM23" s="11"/>
      <c r="AN23" s="11">
        <v>139.74</v>
      </c>
      <c r="AO23" s="29">
        <v>1</v>
      </c>
      <c r="AP23" s="25"/>
      <c r="AQ23" s="11"/>
      <c r="AR23" s="11"/>
      <c r="AS23" s="11">
        <v>139.74</v>
      </c>
      <c r="AT23" s="29">
        <v>1</v>
      </c>
      <c r="AU23" s="25"/>
      <c r="AV23" s="11"/>
      <c r="AW23" s="11"/>
      <c r="AX23" s="11">
        <v>-279.48</v>
      </c>
      <c r="AY23" s="29">
        <v>-2</v>
      </c>
      <c r="AZ23" s="25"/>
      <c r="BA23" s="11"/>
      <c r="BB23" s="11"/>
      <c r="BC23" s="11">
        <v>419.22</v>
      </c>
      <c r="BD23" s="29">
        <v>3</v>
      </c>
      <c r="BE23" s="25"/>
      <c r="BF23" s="11"/>
      <c r="BG23" s="11"/>
      <c r="BH23" s="11">
        <v>-279.48</v>
      </c>
      <c r="BI23" s="29">
        <v>-2</v>
      </c>
      <c r="BJ23" s="25"/>
      <c r="BK23" s="11"/>
      <c r="BL23" s="11"/>
      <c r="BM23" s="11"/>
      <c r="BN23" s="29"/>
      <c r="BO23" s="25"/>
      <c r="BP23" s="11"/>
      <c r="BQ23" s="11"/>
      <c r="BR23" s="11">
        <v>0</v>
      </c>
      <c r="BS23" s="29">
        <v>0</v>
      </c>
      <c r="BT23" s="25"/>
      <c r="BU23" s="11"/>
      <c r="BV23" s="11"/>
      <c r="BW23" s="11">
        <v>0</v>
      </c>
      <c r="BX23" s="29">
        <v>0</v>
      </c>
      <c r="BY23" s="25"/>
      <c r="BZ23" s="11"/>
      <c r="CA23" s="11"/>
      <c r="CB23" s="11">
        <v>0</v>
      </c>
      <c r="CC23" s="29">
        <v>0</v>
      </c>
      <c r="CD23" s="25"/>
      <c r="CE23" s="11"/>
      <c r="CF23" s="11"/>
      <c r="CG23" s="11">
        <v>0</v>
      </c>
      <c r="CH23" s="85">
        <v>0</v>
      </c>
    </row>
    <row r="24" spans="3:86" x14ac:dyDescent="0.25">
      <c r="C24" s="35" t="s">
        <v>43</v>
      </c>
      <c r="D24" s="11"/>
      <c r="E24" s="54"/>
      <c r="F24" s="29" t="s">
        <v>31</v>
      </c>
      <c r="G24" s="31"/>
      <c r="H24" s="32"/>
      <c r="I24" s="31"/>
      <c r="J24" s="11"/>
      <c r="K24" s="32"/>
      <c r="L24" s="31"/>
      <c r="M24" s="11"/>
      <c r="N24" s="11"/>
      <c r="O24" s="17">
        <v>0</v>
      </c>
      <c r="P24" s="29">
        <f>[1]LH1!J24-[1]LH1!H24</f>
        <v>0</v>
      </c>
      <c r="Q24" s="25"/>
      <c r="R24" s="11"/>
      <c r="S24" s="11"/>
      <c r="T24" s="11">
        <v>25218.672685511563</v>
      </c>
      <c r="U24" s="29">
        <f>[1]LH2!$J24-[1]LH2!$H24</f>
        <v>2674</v>
      </c>
      <c r="V24" s="25"/>
      <c r="W24" s="11"/>
      <c r="X24" s="11"/>
      <c r="Y24" s="11">
        <v>0</v>
      </c>
      <c r="Z24" s="29">
        <v>0</v>
      </c>
      <c r="AA24" s="25"/>
      <c r="AB24" s="11"/>
      <c r="AC24" s="11"/>
      <c r="AD24" s="11">
        <v>0</v>
      </c>
      <c r="AE24" s="29">
        <v>0</v>
      </c>
      <c r="AF24" s="25"/>
      <c r="AG24" s="11"/>
      <c r="AH24" s="11"/>
      <c r="AI24" s="11">
        <v>754.48534586422033</v>
      </c>
      <c r="AJ24" s="29">
        <v>80</v>
      </c>
      <c r="AK24" s="25"/>
      <c r="AL24" s="11"/>
      <c r="AM24" s="11"/>
      <c r="AN24" s="11">
        <v>0</v>
      </c>
      <c r="AO24" s="29">
        <v>0</v>
      </c>
      <c r="AP24" s="25"/>
      <c r="AQ24" s="11"/>
      <c r="AR24" s="11"/>
      <c r="AS24" s="11">
        <v>0</v>
      </c>
      <c r="AT24" s="29">
        <v>0</v>
      </c>
      <c r="AU24" s="25"/>
      <c r="AV24" s="11"/>
      <c r="AW24" s="11"/>
      <c r="AX24" s="11"/>
      <c r="AY24" s="29"/>
      <c r="AZ24" s="25"/>
      <c r="BA24" s="11"/>
      <c r="BB24" s="11"/>
      <c r="BC24" s="11">
        <v>1739.72411640461</v>
      </c>
      <c r="BD24" s="29">
        <v>350</v>
      </c>
      <c r="BE24" s="25"/>
      <c r="BF24" s="11"/>
      <c r="BG24" s="11"/>
      <c r="BH24" s="11"/>
      <c r="BI24" s="29"/>
      <c r="BJ24" s="25"/>
      <c r="BK24" s="11"/>
      <c r="BL24" s="11"/>
      <c r="BM24" s="11"/>
      <c r="BN24" s="29"/>
      <c r="BO24" s="25"/>
      <c r="BP24" s="11"/>
      <c r="BQ24" s="11"/>
      <c r="BR24" s="11">
        <v>0</v>
      </c>
      <c r="BS24" s="29">
        <v>0</v>
      </c>
      <c r="BT24" s="25"/>
      <c r="BU24" s="11"/>
      <c r="BV24" s="11"/>
      <c r="BW24" s="11">
        <v>-2169.1453693596332</v>
      </c>
      <c r="BX24" s="29">
        <v>-230</v>
      </c>
      <c r="BY24" s="25"/>
      <c r="BZ24" s="11"/>
      <c r="CA24" s="11"/>
      <c r="CB24" s="11"/>
      <c r="CC24" s="29"/>
      <c r="CD24" s="25"/>
      <c r="CE24" s="11"/>
      <c r="CF24" s="11"/>
      <c r="CG24" s="11">
        <v>0</v>
      </c>
      <c r="CH24" s="85">
        <v>0</v>
      </c>
    </row>
    <row r="25" spans="3:86" s="22" customFormat="1" x14ac:dyDescent="0.25">
      <c r="C25" s="34" t="s">
        <v>44</v>
      </c>
      <c r="D25" s="19">
        <v>1534.36</v>
      </c>
      <c r="E25" s="88">
        <v>23</v>
      </c>
      <c r="F25" s="63">
        <v>1993.7329999999999</v>
      </c>
      <c r="G25" s="103">
        <v>0</v>
      </c>
      <c r="H25" s="21">
        <v>5452.25</v>
      </c>
      <c r="I25" s="20">
        <f>_xlfn.T.INV.2T(0.05,(E25-1))</f>
        <v>2.0738730679040258</v>
      </c>
      <c r="J25" s="19">
        <f>$D25-$I25*$F25/SQRT($E25)</f>
        <v>672.20519885814906</v>
      </c>
      <c r="K25" s="19">
        <f>$D25+$I25*$F25/SQRT($E25)</f>
        <v>2396.5148011418505</v>
      </c>
      <c r="L25" s="19"/>
      <c r="M25" s="19">
        <f>$J$25*P25</f>
        <v>5377.6415908651925</v>
      </c>
      <c r="N25" s="19">
        <f>$K$25*P25</f>
        <v>19172.118409134804</v>
      </c>
      <c r="O25" s="17"/>
      <c r="P25" s="23">
        <f>[1]LH1!J25-[1]LH1!H25</f>
        <v>8</v>
      </c>
      <c r="Q25" s="25"/>
      <c r="R25" s="19">
        <f t="shared" si="0"/>
        <v>-4793.029602283701</v>
      </c>
      <c r="S25" s="19">
        <f t="shared" si="1"/>
        <v>-1344.4103977162981</v>
      </c>
      <c r="T25" s="19">
        <v>-3061.260000000002</v>
      </c>
      <c r="U25" s="23">
        <f>[1]LH2!$J25-[1]LH2!$H25</f>
        <v>-2</v>
      </c>
      <c r="V25" s="25"/>
      <c r="W25" s="19">
        <f>MIN($J25*Z25,$K25*Z25)</f>
        <v>1344.4103977162981</v>
      </c>
      <c r="X25" s="19">
        <f t="shared" ref="X25:X26" si="6">MAX($J25*Z25,$K25*Z25)</f>
        <v>4793.029602283701</v>
      </c>
      <c r="Y25" s="19"/>
      <c r="Z25" s="23">
        <v>2</v>
      </c>
      <c r="AA25" s="25"/>
      <c r="AB25" s="19">
        <f>MIN($J25*AE25,$K25*AE25)</f>
        <v>2688.8207954325962</v>
      </c>
      <c r="AC25" s="19">
        <f t="shared" ref="AC25" si="7">MAX($J25*AE25,$K25*AE25)</f>
        <v>9586.059204567402</v>
      </c>
      <c r="AD25" s="19"/>
      <c r="AE25" s="23">
        <v>4</v>
      </c>
      <c r="AF25" s="25"/>
      <c r="AG25" s="19">
        <f>MIN($J25*AJ25,$K25*AJ25)</f>
        <v>0</v>
      </c>
      <c r="AH25" s="19">
        <f>MAX($J25*AJ25,$K25*AJ25)</f>
        <v>0</v>
      </c>
      <c r="AI25" s="19"/>
      <c r="AJ25" s="23">
        <v>0</v>
      </c>
      <c r="AK25" s="25"/>
      <c r="AL25" s="19">
        <f>MIN($J25*AO25,$K25*AO25)</f>
        <v>4033.2311931488944</v>
      </c>
      <c r="AM25" s="19">
        <f>MAX($J25*AO25,$K25*AO25)</f>
        <v>14379.088806851103</v>
      </c>
      <c r="AN25" s="19"/>
      <c r="AO25" s="23">
        <v>6</v>
      </c>
      <c r="AP25" s="25"/>
      <c r="AQ25" s="19">
        <f>MIN($J25*AT25,$K25*AT25)</f>
        <v>4033.2311931488944</v>
      </c>
      <c r="AR25" s="19">
        <f>MAX($J25*AT25,$K25*AT25)</f>
        <v>14379.088806851103</v>
      </c>
      <c r="AS25" s="19"/>
      <c r="AT25" s="23">
        <v>6</v>
      </c>
      <c r="AU25" s="25"/>
      <c r="AV25" s="19">
        <f>MIN($J25*AY25,$K25*AY25)</f>
        <v>-9586.059204567402</v>
      </c>
      <c r="AW25" s="19">
        <f>MAX($J25*AY25,$K25*AY25)</f>
        <v>-2688.8207954325962</v>
      </c>
      <c r="AX25" s="19">
        <v>-6122.5199999999968</v>
      </c>
      <c r="AY25" s="23">
        <v>-4</v>
      </c>
      <c r="AZ25" s="25"/>
      <c r="BA25" s="19">
        <f>MIN($J25*BD25,$K25*BD25)</f>
        <v>-4793.029602283701</v>
      </c>
      <c r="BB25" s="19">
        <f>MAX($J25*BD25,$K25*BD25)</f>
        <v>-1344.4103977162981</v>
      </c>
      <c r="BC25" s="19">
        <v>-3061.2599999999948</v>
      </c>
      <c r="BD25" s="23">
        <v>-2</v>
      </c>
      <c r="BE25" s="25"/>
      <c r="BF25" s="19">
        <f>MIN($J25*BI25,$K25*BI25)</f>
        <v>-9586.059204567402</v>
      </c>
      <c r="BG25" s="19">
        <f>MAX($J25*BI25,$K25*BI25)</f>
        <v>-2688.8207954325962</v>
      </c>
      <c r="BH25" s="19">
        <v>-6122.5199999999968</v>
      </c>
      <c r="BI25" s="23">
        <v>-4</v>
      </c>
      <c r="BJ25" s="25"/>
      <c r="BK25" s="19">
        <f>MIN($J25*BN25,$K25*BN25)</f>
        <v>0</v>
      </c>
      <c r="BL25" s="19">
        <f>MAX($J25*BN25,$K25*BN25)</f>
        <v>0</v>
      </c>
      <c r="BM25" s="19"/>
      <c r="BN25" s="23"/>
      <c r="BO25" s="25"/>
      <c r="BP25" s="19">
        <f>MIN($J25*BS25,$K25*BS25)</f>
        <v>0</v>
      </c>
      <c r="BQ25" s="19">
        <f>MAX($J25*BS25,$K25*BS25)</f>
        <v>0</v>
      </c>
      <c r="BR25" s="19">
        <v>0</v>
      </c>
      <c r="BS25" s="23">
        <v>0</v>
      </c>
      <c r="BT25" s="25"/>
      <c r="BU25" s="19">
        <f>MIN($J25*BX25,$K25*BX25)</f>
        <v>0</v>
      </c>
      <c r="BV25" s="19">
        <f>MAX($J25*BX25,$K25*BX25)</f>
        <v>0</v>
      </c>
      <c r="BW25" s="19">
        <v>0</v>
      </c>
      <c r="BX25" s="23">
        <v>0</v>
      </c>
      <c r="BY25" s="25"/>
      <c r="BZ25" s="19">
        <f>MIN($J25*CC25,$K25*CC25)</f>
        <v>0</v>
      </c>
      <c r="CA25" s="19">
        <f>MAX($J25*CC25,$K25*CC25)</f>
        <v>0</v>
      </c>
      <c r="CB25" s="19"/>
      <c r="CC25" s="23"/>
      <c r="CD25" s="25"/>
      <c r="CE25" s="19">
        <f>MIN($J25*CH25,$K25*CH25)</f>
        <v>0</v>
      </c>
      <c r="CF25" s="19">
        <f>MAX($J25*CH25,$K25*CH25)</f>
        <v>0</v>
      </c>
      <c r="CG25" s="19">
        <v>0</v>
      </c>
      <c r="CH25" s="86">
        <v>0</v>
      </c>
    </row>
    <row r="26" spans="3:86" s="22" customFormat="1" ht="15.75" thickBot="1" x14ac:dyDescent="0.3">
      <c r="C26" s="38" t="s">
        <v>45</v>
      </c>
      <c r="D26" s="89">
        <v>6136.34</v>
      </c>
      <c r="E26" s="90">
        <v>5</v>
      </c>
      <c r="F26" s="104">
        <v>821.37549999999999</v>
      </c>
      <c r="G26" s="105">
        <v>5043.6769999999997</v>
      </c>
      <c r="H26" s="106">
        <v>7301.22</v>
      </c>
      <c r="I26" s="89">
        <f>_xlfn.T.INV.2T(0.05,(E26-1))</f>
        <v>2.7764451051977934</v>
      </c>
      <c r="J26" s="89">
        <f>$D26-$I26*$F26/SQRT($E26)</f>
        <v>5116.4676126433842</v>
      </c>
      <c r="K26" s="91">
        <f>$D26+$I26*$F26/SQRT($E26)</f>
        <v>7156.2123873566161</v>
      </c>
      <c r="L26" s="89"/>
      <c r="M26" s="89">
        <f>$J$26*P26</f>
        <v>5116.4676126433842</v>
      </c>
      <c r="N26" s="89">
        <f>$K$26*P26</f>
        <v>7156.2123873566161</v>
      </c>
      <c r="O26" s="107"/>
      <c r="P26" s="91">
        <f>[1]LH1!J26-[1]LH1!H26</f>
        <v>1</v>
      </c>
      <c r="Q26" s="95"/>
      <c r="R26" s="89">
        <f t="shared" si="0"/>
        <v>773.09825627041539</v>
      </c>
      <c r="S26" s="89">
        <f t="shared" si="1"/>
        <v>1081.3036917295847</v>
      </c>
      <c r="T26" s="89">
        <v>865.25601800000004</v>
      </c>
      <c r="U26" s="91">
        <f>[1]LH2!$J26-[1]LH2!$H26</f>
        <v>0.15110000000000001</v>
      </c>
      <c r="V26" s="95"/>
      <c r="W26" s="89">
        <f t="shared" ref="W26" si="8">MIN($J26*Z26,$K26*Z26)</f>
        <v>4604.820851379046</v>
      </c>
      <c r="X26" s="89">
        <f t="shared" si="6"/>
        <v>6440.5911486209543</v>
      </c>
      <c r="Y26" s="89"/>
      <c r="Z26" s="91">
        <v>0.9</v>
      </c>
      <c r="AA26" s="95"/>
      <c r="AB26" s="89">
        <f>MIN($J26*AE26,$K26*AE26)</f>
        <v>-13832.958544760339</v>
      </c>
      <c r="AC26" s="89">
        <f>MAX($J26*AE26,$K26*AE26)</f>
        <v>-9890.1318952396614</v>
      </c>
      <c r="AD26" s="89"/>
      <c r="AE26" s="91">
        <v>-1.9330000000000001</v>
      </c>
      <c r="AF26" s="95"/>
      <c r="AG26" s="89">
        <f>MIN($J26*AJ26,$K26*AJ26)</f>
        <v>-14217.247149961389</v>
      </c>
      <c r="AH26" s="89">
        <f>MAX($J26*AJ26,$K26*AJ26)</f>
        <v>-10164.886206038611</v>
      </c>
      <c r="AI26" s="89"/>
      <c r="AJ26" s="91">
        <v>-1.9866999999999999</v>
      </c>
      <c r="AK26" s="95"/>
      <c r="AL26" s="89">
        <f>MIN($J26*AO26,$K26*AO26)</f>
        <v>-13832.958544760339</v>
      </c>
      <c r="AM26" s="89">
        <f>MAX($J26*AO26,$K26*AO26)</f>
        <v>-9890.1318952396614</v>
      </c>
      <c r="AN26" s="89"/>
      <c r="AO26" s="91">
        <v>-1.9330000000000001</v>
      </c>
      <c r="AP26" s="95"/>
      <c r="AQ26" s="89">
        <f>MIN($J26*AT26,$K26*AT26)</f>
        <v>-14312.424774713232</v>
      </c>
      <c r="AR26" s="89">
        <f>MAX($J26*AT26,$K26*AT26)</f>
        <v>-10232.935225286768</v>
      </c>
      <c r="AS26" s="89"/>
      <c r="AT26" s="91">
        <v>-2</v>
      </c>
      <c r="AU26" s="95"/>
      <c r="AV26" s="89">
        <f>MIN($J26*AY26,$K26*AY26)</f>
        <v>0</v>
      </c>
      <c r="AW26" s="89">
        <f>MAX($J26*AY26,$K26*AY26)</f>
        <v>0</v>
      </c>
      <c r="AX26" s="89">
        <v>0</v>
      </c>
      <c r="AY26" s="91">
        <v>0</v>
      </c>
      <c r="AZ26" s="95"/>
      <c r="BA26" s="89">
        <f>MIN($J26*BD26,$K26*BD26)</f>
        <v>0</v>
      </c>
      <c r="BB26" s="89">
        <f>MAX($J26*BD26,$K26*BD26)</f>
        <v>0</v>
      </c>
      <c r="BC26" s="89">
        <v>0</v>
      </c>
      <c r="BD26" s="91">
        <v>0</v>
      </c>
      <c r="BE26" s="95"/>
      <c r="BF26" s="89">
        <f>MIN($J26*BI26,$K26*BI26)</f>
        <v>0</v>
      </c>
      <c r="BG26" s="89">
        <f>MAX($J26*BI26,$K26*BI26)</f>
        <v>0</v>
      </c>
      <c r="BH26" s="89">
        <v>0</v>
      </c>
      <c r="BI26" s="91">
        <v>0</v>
      </c>
      <c r="BJ26" s="95"/>
      <c r="BK26" s="89">
        <f>MIN($J26*BN26,$K26*BN26)</f>
        <v>0</v>
      </c>
      <c r="BL26" s="89">
        <f>MAX($J26*BN26,$K26*BN26)</f>
        <v>0</v>
      </c>
      <c r="BM26" s="89"/>
      <c r="BN26" s="91"/>
      <c r="BO26" s="95"/>
      <c r="BP26" s="89">
        <f>MIN($J26*BS26,$K26*BS26)</f>
        <v>5116.4676126433842</v>
      </c>
      <c r="BQ26" s="89">
        <f>MAX($J26*BS26,$K26*BS26)</f>
        <v>7156.2123873566161</v>
      </c>
      <c r="BR26" s="89">
        <v>5726.3799999999992</v>
      </c>
      <c r="BS26" s="91">
        <v>1</v>
      </c>
      <c r="BT26" s="95"/>
      <c r="BU26" s="89">
        <f>MIN($J26*BX26,$K26*BX26)</f>
        <v>0</v>
      </c>
      <c r="BV26" s="89">
        <f>MAX($J26*BX26,$K26*BX26)</f>
        <v>0</v>
      </c>
      <c r="BW26" s="89"/>
      <c r="BX26" s="91"/>
      <c r="BY26" s="95"/>
      <c r="BZ26" s="89">
        <f>MIN($J26*CC26,$K26*CC26)</f>
        <v>0</v>
      </c>
      <c r="CA26" s="89">
        <f>MAX($J26*CC26,$K26*CC26)</f>
        <v>0</v>
      </c>
      <c r="CB26" s="89"/>
      <c r="CC26" s="91"/>
      <c r="CD26" s="95"/>
      <c r="CE26" s="89">
        <f>MIN($J26*CH26,$K26*CH26)</f>
        <v>0</v>
      </c>
      <c r="CF26" s="89">
        <f>MAX($J26*CH26,$K26*CH26)</f>
        <v>0</v>
      </c>
      <c r="CG26" s="89">
        <v>0</v>
      </c>
      <c r="CH26" s="96">
        <v>0</v>
      </c>
    </row>
    <row r="27" spans="3:86" x14ac:dyDescent="0.25">
      <c r="C27" s="10"/>
      <c r="D27" s="43"/>
      <c r="E27" s="43"/>
      <c r="F27" s="44"/>
      <c r="G27" s="44"/>
      <c r="H27" s="44"/>
      <c r="I27" s="44"/>
      <c r="J27" s="44"/>
      <c r="K27" s="10"/>
      <c r="L27" s="10"/>
      <c r="M27" s="10"/>
      <c r="N27" s="10"/>
      <c r="O27" s="10"/>
      <c r="P27" s="10"/>
      <c r="Q27" s="10"/>
      <c r="V27" s="10"/>
      <c r="AA27" s="10"/>
      <c r="AF27" s="10"/>
      <c r="AK27" s="10"/>
      <c r="AP27" s="10"/>
      <c r="AU27" s="10"/>
      <c r="AZ27" s="10"/>
      <c r="BE27" s="10"/>
      <c r="BJ27" s="10"/>
      <c r="BO27" s="10"/>
      <c r="BT27" s="10"/>
      <c r="BY27" s="10"/>
      <c r="CD27" s="10"/>
    </row>
    <row r="28" spans="3:86" ht="30.75" thickBot="1" x14ac:dyDescent="0.3">
      <c r="C28" s="45"/>
      <c r="D28" s="45"/>
      <c r="E28" s="45"/>
      <c r="F28" s="46"/>
      <c r="G28" s="46"/>
      <c r="H28" s="46"/>
      <c r="I28" s="46"/>
      <c r="J28" s="46"/>
      <c r="L28" s="10" t="s">
        <v>47</v>
      </c>
      <c r="M28" s="57">
        <f>M4+M5+O6</f>
        <v>0</v>
      </c>
      <c r="N28" s="57">
        <f>N4+N5+P6</f>
        <v>0.51259180714884145</v>
      </c>
      <c r="O28" s="47"/>
      <c r="P28" s="10"/>
      <c r="Q28" s="59" t="s">
        <v>47</v>
      </c>
      <c r="R28" s="57">
        <f>R4+R5+T6</f>
        <v>0</v>
      </c>
      <c r="S28" s="57">
        <f>S4+S5+T6</f>
        <v>12199.685010142426</v>
      </c>
      <c r="T28" s="47"/>
      <c r="V28" s="10" t="s">
        <v>47</v>
      </c>
      <c r="W28" s="57">
        <f>W4+W5+Y6</f>
        <v>0</v>
      </c>
      <c r="X28" s="57">
        <f>X4+X5+Y6</f>
        <v>28192.54939318628</v>
      </c>
      <c r="Y28" s="47"/>
      <c r="AA28" s="10" t="s">
        <v>47</v>
      </c>
      <c r="AB28" s="57">
        <f>AB4+AB5+AD6</f>
        <v>0</v>
      </c>
      <c r="AC28" s="57">
        <f>AC4+AC5+AD6</f>
        <v>0</v>
      </c>
      <c r="AD28" s="47"/>
      <c r="AF28" s="10" t="s">
        <v>47</v>
      </c>
      <c r="AG28" s="57">
        <f>AG4+AG5+AI6</f>
        <v>0</v>
      </c>
      <c r="AH28" s="57">
        <f>AH4+AH5+AI6</f>
        <v>0</v>
      </c>
      <c r="AI28" s="47"/>
      <c r="AK28" s="10" t="s">
        <v>47</v>
      </c>
      <c r="AL28" s="57">
        <f>AL4+AL5+AN6</f>
        <v>0</v>
      </c>
      <c r="AM28" s="57">
        <f>AM4+AM5+AN6</f>
        <v>0</v>
      </c>
      <c r="AN28" s="47"/>
      <c r="AP28" s="10" t="s">
        <v>47</v>
      </c>
      <c r="AQ28" s="57">
        <f>AQ4+AQ5+AS6</f>
        <v>0</v>
      </c>
      <c r="AR28" s="57">
        <f>AR4+AR5+AS6</f>
        <v>0</v>
      </c>
      <c r="AS28" s="47"/>
      <c r="AU28" s="10" t="s">
        <v>47</v>
      </c>
      <c r="AV28" s="57">
        <f>AV4+AV5+AX6</f>
        <v>0</v>
      </c>
      <c r="AW28" s="57">
        <f>AW4+AW5+AX6</f>
        <v>0</v>
      </c>
      <c r="AX28" s="47"/>
      <c r="AZ28" s="10" t="s">
        <v>47</v>
      </c>
      <c r="BA28" s="57">
        <f>BA4+BA5+BC6</f>
        <v>0</v>
      </c>
      <c r="BB28" s="57">
        <f>BB4+BB5+BC6</f>
        <v>0</v>
      </c>
      <c r="BC28" s="47"/>
      <c r="BE28" s="10" t="s">
        <v>47</v>
      </c>
      <c r="BF28" s="57">
        <f>BF4+BF5+BH6</f>
        <v>0</v>
      </c>
      <c r="BG28" s="57">
        <f>BG4+BG5+BH6</f>
        <v>0</v>
      </c>
      <c r="BH28" s="47"/>
      <c r="BJ28" s="10" t="s">
        <v>47</v>
      </c>
      <c r="BK28" s="57">
        <f>BK4+BK5+BM6</f>
        <v>0</v>
      </c>
      <c r="BL28" s="57">
        <f>BL4+BL5+BM6</f>
        <v>0</v>
      </c>
      <c r="BM28" s="47"/>
      <c r="BO28" s="10" t="s">
        <v>47</v>
      </c>
      <c r="BP28" s="57">
        <f>BP4+BP5+BR6</f>
        <v>0</v>
      </c>
      <c r="BQ28" s="57">
        <f>BQ4+BQ5+BR6</f>
        <v>0</v>
      </c>
      <c r="BR28" s="47"/>
      <c r="BT28" s="10" t="s">
        <v>47</v>
      </c>
      <c r="BU28" s="57">
        <f>BU4+BU5+BW6</f>
        <v>0</v>
      </c>
      <c r="BV28" s="57">
        <f>BV4+BV5+BW6</f>
        <v>0</v>
      </c>
      <c r="BW28" s="47"/>
      <c r="BY28" s="10" t="s">
        <v>47</v>
      </c>
      <c r="BZ28" s="57">
        <f>BZ4+BZ5+CB6</f>
        <v>0</v>
      </c>
      <c r="CA28" s="57">
        <f>CA4+CA5+CB6</f>
        <v>0</v>
      </c>
      <c r="CB28" s="47"/>
      <c r="CD28" s="10" t="s">
        <v>47</v>
      </c>
      <c r="CE28" s="57">
        <f>CE4+CE5+CG6</f>
        <v>0</v>
      </c>
      <c r="CF28" s="57">
        <f>CF4+CF5+CG6</f>
        <v>0</v>
      </c>
      <c r="CG28" s="47"/>
    </row>
    <row r="29" spans="3:86" ht="30" x14ac:dyDescent="0.25">
      <c r="C29" s="45"/>
      <c r="D29" s="341" t="s">
        <v>49</v>
      </c>
      <c r="E29" s="342"/>
      <c r="F29" s="342"/>
      <c r="G29" s="343"/>
      <c r="H29" s="46"/>
      <c r="I29" s="46"/>
      <c r="J29" s="46"/>
      <c r="L29" s="10" t="s">
        <v>50</v>
      </c>
      <c r="M29" s="57">
        <f>SUM(M7,M10,M18:M20,O9,O11:O17)</f>
        <v>574.55077438690398</v>
      </c>
      <c r="N29" s="57">
        <f>SUM(N7,N10,N18:N20,O9,O11:O17)</f>
        <v>3964.9571356130959</v>
      </c>
      <c r="O29" s="47"/>
      <c r="P29" s="10"/>
      <c r="Q29" s="59" t="s">
        <v>50</v>
      </c>
      <c r="R29" s="57">
        <f>SUM(R7,R10,R18:R20,T9,T11:T17)</f>
        <v>54.39002234622059</v>
      </c>
      <c r="S29" s="57">
        <f>SUM(S7,S10,S18:S20,T9,T11:T17)</f>
        <v>247.15893765377942</v>
      </c>
      <c r="T29" s="47"/>
      <c r="V29" s="10" t="s">
        <v>50</v>
      </c>
      <c r="W29" s="57">
        <f>SUM(W7,W10,W18:W20,Y9,Y11:Y17)</f>
        <v>13121.234761657703</v>
      </c>
      <c r="X29" s="57">
        <f>SUM(X7,X10,X18:X20,Y9,Y11:Y17)</f>
        <v>63645.556578342301</v>
      </c>
      <c r="Y29" s="47"/>
      <c r="AA29" s="10" t="s">
        <v>50</v>
      </c>
      <c r="AB29" s="57">
        <f>SUM(AB7,AB10,AB18:AB20,AD9,AD11:AD17)</f>
        <v>3109.8316746045389</v>
      </c>
      <c r="AC29" s="57">
        <f>SUM(AC7,AC10,AC18:AC20,AD9,AD11:AD17)</f>
        <v>15498.625945395463</v>
      </c>
      <c r="AD29" s="47"/>
      <c r="AF29" s="10" t="s">
        <v>50</v>
      </c>
      <c r="AG29" s="57">
        <f>SUM(AG7,AG10,AG18:AG20,AI9,AI11:AI17)</f>
        <v>3307.4862411568347</v>
      </c>
      <c r="AH29" s="57">
        <f>SUM(AH7,AH10,AH18:AH20,AI9,AI11:AI17)</f>
        <v>18122.209398843162</v>
      </c>
      <c r="AI29" s="47"/>
      <c r="AK29" s="10" t="s">
        <v>50</v>
      </c>
      <c r="AL29" s="57">
        <f>SUM(AL7,AL10,AL18:AL20,AN9,AN11:AN17)</f>
        <v>1933.6288487739555</v>
      </c>
      <c r="AM29" s="57">
        <f>SUM(AM7,AM10,AM18:AM20,AN9,AN11:AN17)</f>
        <v>13426.806471226046</v>
      </c>
      <c r="AN29" s="47"/>
      <c r="AP29" s="10" t="s">
        <v>50</v>
      </c>
      <c r="AQ29" s="57">
        <f>SUM(AQ7,AQ10,AQ18:AQ20,AS9,AS11:AS17)</f>
        <v>1766.406891357248</v>
      </c>
      <c r="AR29" s="57">
        <f>SUM(AR7,AR10,AR18:AR20,AS9,AS11:AS17)</f>
        <v>9974.0327086427496</v>
      </c>
      <c r="AS29" s="47"/>
      <c r="AU29" s="10" t="s">
        <v>50</v>
      </c>
      <c r="AV29" s="57">
        <f>SUM(AV7,AV10,AV18:AV20,AX9,AX11:AX17)</f>
        <v>11252.051574844132</v>
      </c>
      <c r="AW29" s="57">
        <f>SUM(AW7,AW10,AW18:AW20,AX9,AX11:AX17)</f>
        <v>61887.599845155877</v>
      </c>
      <c r="AX29" s="47"/>
      <c r="AZ29" s="10" t="s">
        <v>50</v>
      </c>
      <c r="BA29" s="57">
        <f>SUM(BA7,BA10,BA18:BA20,BC9,BC11:BC17)</f>
        <v>1901.9300798100901</v>
      </c>
      <c r="BB29" s="57">
        <f>SUM(BB7,BB10,BB18:BB20,BC9,BC11:BC17)</f>
        <v>13002.47450018991</v>
      </c>
      <c r="BC29" s="47"/>
      <c r="BE29" s="10" t="s">
        <v>50</v>
      </c>
      <c r="BF29" s="57">
        <f>SUM(BF7,BF10,BF18:BF20,BH9,BH11:BH17)</f>
        <v>4644.9309946456824</v>
      </c>
      <c r="BG29" s="57">
        <f>SUM(BG7,BG10,BG18:BG20,BH9,BH11:BH17)</f>
        <v>28322.834585354318</v>
      </c>
      <c r="BH29" s="47"/>
      <c r="BJ29" s="10" t="s">
        <v>50</v>
      </c>
      <c r="BK29" s="57">
        <f>SUM(BK7,BK10,BK18:BK20,BM9,BM11:BM17)</f>
        <v>-62841.559511586136</v>
      </c>
      <c r="BL29" s="57">
        <f>SUM(BL7,BL10,BL18:BL20,BM9,BM11:BM17)</f>
        <v>-12083.068948413864</v>
      </c>
      <c r="BM29" s="47"/>
      <c r="BO29" s="10" t="s">
        <v>50</v>
      </c>
      <c r="BP29" s="57">
        <f>SUM(BP7,BP10,BP18:BP20,BR9,BR11:BR17)</f>
        <v>931.31565642242049</v>
      </c>
      <c r="BQ29" s="57">
        <f>SUM(BQ7,BQ10,BQ18:BQ20,BR9,BR11:BR17)</f>
        <v>6280.3037435775796</v>
      </c>
      <c r="BR29" s="47"/>
      <c r="BT29" s="10" t="s">
        <v>50</v>
      </c>
      <c r="BU29" s="57">
        <f>SUM(BU7,BU10,BU18:BU20,BW9,BW11:BW17)</f>
        <v>-545.90075101873026</v>
      </c>
      <c r="BV29" s="57">
        <f>SUM(BV7,BV10,BV18:BV20,BW9,BW11:BW17)</f>
        <v>2850.3419110187301</v>
      </c>
      <c r="BW29" s="47"/>
      <c r="BY29" s="10" t="s">
        <v>50</v>
      </c>
      <c r="BZ29" s="57">
        <f>SUM(BZ7,BZ10,BZ18:BZ20,CB9,CB11:CB17)</f>
        <v>13530.758579997941</v>
      </c>
      <c r="CA29" s="57">
        <f>SUM(CA7,CA10,CA18:CA20,CB9,CB11:CB17)</f>
        <v>74720.776080002062</v>
      </c>
      <c r="CB29" s="47"/>
      <c r="CD29" s="10" t="s">
        <v>50</v>
      </c>
      <c r="CE29" s="57">
        <f>SUM(CE7,CE10,CE18:CE20,CG9,CG11:CG17)</f>
        <v>12251.901296943695</v>
      </c>
      <c r="CF29" s="57">
        <f>SUM(CF7,CF10,CF18:CF20,CG9,CG11:CG17)</f>
        <v>65597.409523056311</v>
      </c>
      <c r="CG29" s="47"/>
    </row>
    <row r="30" spans="3:86" ht="30" x14ac:dyDescent="0.25">
      <c r="C30" s="45"/>
      <c r="D30" s="344"/>
      <c r="E30" s="345"/>
      <c r="F30" s="345"/>
      <c r="G30" s="346"/>
      <c r="H30" s="46"/>
      <c r="I30" s="46"/>
      <c r="J30" s="46"/>
      <c r="L30" s="10" t="s">
        <v>52</v>
      </c>
      <c r="M30" s="57">
        <f>O21</f>
        <v>-368.16</v>
      </c>
      <c r="N30" s="57">
        <f>O21</f>
        <v>-368.16</v>
      </c>
      <c r="O30" s="47"/>
      <c r="P30" s="10"/>
      <c r="Q30" s="59" t="s">
        <v>52</v>
      </c>
      <c r="R30" s="57">
        <f>T21</f>
        <v>3804.32</v>
      </c>
      <c r="S30" s="57">
        <f>T21</f>
        <v>3804.32</v>
      </c>
      <c r="T30" s="47"/>
      <c r="V30" s="10" t="s">
        <v>52</v>
      </c>
      <c r="W30" s="57">
        <f>Y21</f>
        <v>2761.2000000000003</v>
      </c>
      <c r="X30" s="57">
        <f>Y21</f>
        <v>2761.2000000000003</v>
      </c>
      <c r="Y30" s="47"/>
      <c r="AA30" s="10" t="s">
        <v>52</v>
      </c>
      <c r="AB30" s="57">
        <f>AD21</f>
        <v>3374.8</v>
      </c>
      <c r="AC30" s="57">
        <f>AD21</f>
        <v>3374.8</v>
      </c>
      <c r="AD30" s="47"/>
      <c r="AF30" s="10" t="s">
        <v>52</v>
      </c>
      <c r="AG30" s="57">
        <f>AI21</f>
        <v>2699.84</v>
      </c>
      <c r="AH30" s="57">
        <f>AI21</f>
        <v>2699.84</v>
      </c>
      <c r="AI30" s="47"/>
      <c r="AK30" s="10" t="s">
        <v>52</v>
      </c>
      <c r="AL30" s="57">
        <f>AN21</f>
        <v>2883.92</v>
      </c>
      <c r="AM30" s="57">
        <f>AN21</f>
        <v>2883.92</v>
      </c>
      <c r="AN30" s="47"/>
      <c r="AP30" s="10" t="s">
        <v>52</v>
      </c>
      <c r="AQ30" s="57">
        <f>AS21</f>
        <v>3252.08</v>
      </c>
      <c r="AR30" s="57">
        <f>AS21</f>
        <v>3252.08</v>
      </c>
      <c r="AS30" s="47"/>
      <c r="AU30" s="10" t="s">
        <v>52</v>
      </c>
      <c r="AV30" s="57">
        <f>AX21</f>
        <v>-368.16000000000031</v>
      </c>
      <c r="AW30" s="57">
        <f>AX21</f>
        <v>-368.16000000000031</v>
      </c>
      <c r="AX30" s="47"/>
      <c r="AZ30" s="10" t="s">
        <v>52</v>
      </c>
      <c r="BA30" s="57">
        <f>BC21</f>
        <v>552.23999999999978</v>
      </c>
      <c r="BB30" s="57">
        <f>BC21</f>
        <v>552.23999999999978</v>
      </c>
      <c r="BC30" s="47"/>
      <c r="BE30" s="10" t="s">
        <v>52</v>
      </c>
      <c r="BF30" s="57">
        <f>BH21</f>
        <v>-61.359999999999673</v>
      </c>
      <c r="BG30" s="57">
        <f>BH21</f>
        <v>-61.359999999999673</v>
      </c>
      <c r="BH30" s="47"/>
      <c r="BJ30" s="10" t="s">
        <v>52</v>
      </c>
      <c r="BK30" s="57">
        <f>BM21</f>
        <v>859.04</v>
      </c>
      <c r="BL30" s="57">
        <f>BM21</f>
        <v>859.04</v>
      </c>
      <c r="BM30" s="47"/>
      <c r="BO30" s="10" t="s">
        <v>52</v>
      </c>
      <c r="BP30" s="57">
        <f>BR21</f>
        <v>245.44000000000051</v>
      </c>
      <c r="BQ30" s="57">
        <f>BR21</f>
        <v>245.44000000000051</v>
      </c>
      <c r="BR30" s="47"/>
      <c r="BT30" s="10" t="s">
        <v>52</v>
      </c>
      <c r="BU30" s="57">
        <f>BW21</f>
        <v>3006.64</v>
      </c>
      <c r="BV30" s="57">
        <f>BW21</f>
        <v>3006.64</v>
      </c>
      <c r="BW30" s="47"/>
      <c r="BY30" s="10" t="s">
        <v>52</v>
      </c>
      <c r="BZ30" s="57">
        <f>CB21</f>
        <v>1472.6399999999999</v>
      </c>
      <c r="CA30" s="57">
        <f>CB21</f>
        <v>1472.6399999999999</v>
      </c>
      <c r="CB30" s="47"/>
      <c r="CD30" s="10" t="s">
        <v>52</v>
      </c>
      <c r="CE30" s="57">
        <f>CG21</f>
        <v>490.88000000000011</v>
      </c>
      <c r="CF30" s="57">
        <f>CG21</f>
        <v>490.88000000000011</v>
      </c>
      <c r="CG30" s="47"/>
    </row>
    <row r="31" spans="3:86" ht="30.75" thickBot="1" x14ac:dyDescent="0.3">
      <c r="C31" s="45"/>
      <c r="D31" s="347"/>
      <c r="E31" s="348"/>
      <c r="F31" s="348"/>
      <c r="G31" s="349"/>
      <c r="H31" s="48"/>
      <c r="I31" s="48"/>
      <c r="J31" s="46"/>
      <c r="L31" s="10" t="s">
        <v>54</v>
      </c>
      <c r="M31" s="48">
        <f>SUM(M25:M26,O22:O24)</f>
        <v>10633.849203508576</v>
      </c>
      <c r="N31" s="48">
        <f>SUM(N25:N26,O22:O24)</f>
        <v>26468.070796491422</v>
      </c>
      <c r="O31" s="48"/>
      <c r="P31" s="10"/>
      <c r="Q31" s="59" t="s">
        <v>54</v>
      </c>
      <c r="R31" s="48">
        <f>SUM(R25:R26,T22:T24)</f>
        <v>21338.481339498278</v>
      </c>
      <c r="S31" s="48">
        <f>SUM(S25:S26,T22:T24)</f>
        <v>25095.305979524848</v>
      </c>
      <c r="T31" s="48"/>
      <c r="V31" s="10" t="s">
        <v>54</v>
      </c>
      <c r="W31" s="48">
        <f>SUM(W25:W26,Y22:Y24)</f>
        <v>6368.4512490953448</v>
      </c>
      <c r="X31" s="48">
        <f>SUM(X25:X26,Y22:Y24)</f>
        <v>11652.840750904654</v>
      </c>
      <c r="Y31" s="48"/>
      <c r="AA31" s="10" t="s">
        <v>54</v>
      </c>
      <c r="AB31" s="48">
        <f>SUM(AB25:AB26,AD22:AD24)</f>
        <v>-11144.137749327743</v>
      </c>
      <c r="AC31" s="48">
        <f>SUM(AC25:AC26,AD22:AD24)</f>
        <v>-304.07269067225934</v>
      </c>
      <c r="AD31" s="48"/>
      <c r="AF31" s="10" t="s">
        <v>54</v>
      </c>
      <c r="AG31" s="48">
        <f>SUM(AG25:AG26,AI22:AI24)</f>
        <v>-12903.801804097169</v>
      </c>
      <c r="AH31" s="48">
        <f>SUM(AH25:AH26,AI22:AI24)</f>
        <v>-8851.4408601743889</v>
      </c>
      <c r="AI31" s="48"/>
      <c r="AK31" s="10" t="s">
        <v>54</v>
      </c>
      <c r="AL31" s="48">
        <f>SUM(AL25:AL26,AN22:AN24)</f>
        <v>-9659.987351611444</v>
      </c>
      <c r="AM31" s="48">
        <f>SUM(AM25:AM26,AN22:AN24)</f>
        <v>4628.6969116114415</v>
      </c>
      <c r="AN31" s="48"/>
      <c r="AP31" s="10" t="s">
        <v>54</v>
      </c>
      <c r="AQ31" s="48">
        <f>SUM(AQ25:AQ26,AS22:AS24)</f>
        <v>-10139.453581564338</v>
      </c>
      <c r="AR31" s="48">
        <f>SUM(AR25:AR26,AS22:AS24)</f>
        <v>4285.8935815643345</v>
      </c>
      <c r="AS31" s="48"/>
      <c r="AU31" s="10" t="s">
        <v>54</v>
      </c>
      <c r="AV31" s="48">
        <f>SUM(AV25:AV26,AX22:AX24)</f>
        <v>-9865.5392045674016</v>
      </c>
      <c r="AW31" s="48">
        <f>SUM(AW25:AW26,AX22:AX24)</f>
        <v>-2968.3007954325963</v>
      </c>
      <c r="AX31" s="48"/>
      <c r="AZ31" s="10" t="s">
        <v>54</v>
      </c>
      <c r="BA31" s="48">
        <f>SUM(BA25:BA26,BC22:BC24)</f>
        <v>-2634.0854858790908</v>
      </c>
      <c r="BB31" s="48">
        <f>SUM(BB25:BB26,BC22:BC24)</f>
        <v>814.53371868831186</v>
      </c>
      <c r="BC31" s="48"/>
      <c r="BE31" s="10" t="s">
        <v>54</v>
      </c>
      <c r="BF31" s="48">
        <f>SUM(BF25:BF26,BH22:BH24)</f>
        <v>-9865.5392045674016</v>
      </c>
      <c r="BG31" s="48">
        <f>SUM(BG25:BG26,BH22:BH24)</f>
        <v>-2968.3007954325963</v>
      </c>
      <c r="BH31" s="48"/>
      <c r="BJ31" s="10" t="s">
        <v>54</v>
      </c>
      <c r="BK31" s="48">
        <f>SUM(BK25:BK26,BM22:BM24)</f>
        <v>0</v>
      </c>
      <c r="BL31" s="48">
        <f>SUM(BL25:BL26,BM22:BM24)</f>
        <v>0</v>
      </c>
      <c r="BM31" s="48"/>
      <c r="BO31" s="10" t="s">
        <v>54</v>
      </c>
      <c r="BP31" s="48">
        <f>SUM(BP25:BP26,BR22:BR24)</f>
        <v>5116.4676126433842</v>
      </c>
      <c r="BQ31" s="48">
        <f>SUM(BQ25:BQ26,BR22:BR24)</f>
        <v>7156.2123873566161</v>
      </c>
      <c r="BR31" s="48"/>
      <c r="BT31" s="10" t="s">
        <v>54</v>
      </c>
      <c r="BU31" s="48">
        <f>SUM(BU25:BU26,BW22:BW24)</f>
        <v>-2169.1453693596332</v>
      </c>
      <c r="BV31" s="48">
        <f>SUM(BV25:BV26,BW22:BW24)</f>
        <v>-2169.1453693596332</v>
      </c>
      <c r="BW31" s="48"/>
      <c r="BY31" s="10" t="s">
        <v>54</v>
      </c>
      <c r="BZ31" s="48">
        <f>SUM(BZ25:BZ26,CB22:CB24)</f>
        <v>0</v>
      </c>
      <c r="CA31" s="48">
        <f>SUM(CA25:CA26,CB22:CB24)</f>
        <v>0</v>
      </c>
      <c r="CB31" s="48"/>
      <c r="CD31" s="10" t="s">
        <v>54</v>
      </c>
      <c r="CE31" s="48">
        <f>SUM(CE25:CE26,CG22:CG24)</f>
        <v>0</v>
      </c>
      <c r="CF31" s="48">
        <f>SUM(CF25:CF26,CG22:CG24)</f>
        <v>0</v>
      </c>
      <c r="CG31" s="48"/>
    </row>
    <row r="32" spans="3:86" x14ac:dyDescent="0.25">
      <c r="H32" s="49"/>
      <c r="I32" s="49"/>
      <c r="L32" s="49" t="s">
        <v>55</v>
      </c>
      <c r="M32" s="58">
        <f>SUM(M28:M31)</f>
        <v>10840.23997789548</v>
      </c>
      <c r="N32" s="58">
        <f>SUM(N28:N31)</f>
        <v>30065.380523911666</v>
      </c>
      <c r="O32" s="50"/>
      <c r="P32" s="49"/>
      <c r="Q32" s="49"/>
      <c r="R32" s="10"/>
      <c r="S32" s="50"/>
      <c r="T32" s="50"/>
      <c r="V32" s="49"/>
      <c r="W32" s="10"/>
      <c r="X32" s="50"/>
      <c r="Y32" s="50"/>
      <c r="AA32" s="49"/>
      <c r="AB32" s="10"/>
      <c r="AC32" s="50"/>
      <c r="AD32" s="50"/>
      <c r="AF32" s="49"/>
      <c r="AG32" s="10"/>
      <c r="AH32" s="50"/>
      <c r="AI32" s="50"/>
      <c r="AK32" s="49"/>
      <c r="AL32" s="10"/>
      <c r="AM32" s="50"/>
      <c r="AN32" s="50"/>
      <c r="AP32" s="49"/>
      <c r="AQ32" s="10"/>
      <c r="AR32" s="50"/>
      <c r="AS32" s="50"/>
      <c r="AU32" s="49"/>
      <c r="AV32" s="10"/>
      <c r="AW32" s="50"/>
      <c r="AX32" s="50"/>
      <c r="AZ32" s="49"/>
      <c r="BA32" s="10"/>
      <c r="BB32" s="50"/>
      <c r="BC32" s="50"/>
      <c r="BE32" s="49"/>
      <c r="BF32" s="10"/>
      <c r="BG32" s="50"/>
      <c r="BH32" s="50"/>
      <c r="BJ32" s="49"/>
      <c r="BK32" s="10"/>
      <c r="BL32" s="50"/>
      <c r="BM32" s="50"/>
      <c r="BO32" s="49"/>
      <c r="BP32" s="10"/>
      <c r="BQ32" s="50"/>
      <c r="BR32" s="50"/>
      <c r="BT32" s="49"/>
      <c r="BU32" s="10"/>
      <c r="BV32" s="50"/>
      <c r="BW32" s="50"/>
      <c r="BY32" s="49"/>
      <c r="BZ32" s="10"/>
      <c r="CA32" s="50"/>
      <c r="CB32" s="50"/>
      <c r="CD32" s="49"/>
      <c r="CE32" s="10"/>
      <c r="CF32" s="50"/>
      <c r="CG32" s="50"/>
    </row>
    <row r="34" spans="3:9" x14ac:dyDescent="0.25">
      <c r="C34" s="10"/>
      <c r="D34" s="43"/>
      <c r="E34" s="43"/>
    </row>
    <row r="36" spans="3:9" ht="18.75" customHeight="1" x14ac:dyDescent="0.25">
      <c r="C36" s="10"/>
      <c r="D36" s="43"/>
      <c r="E36" s="43"/>
    </row>
    <row r="37" spans="3:9" x14ac:dyDescent="0.25">
      <c r="C37" s="14"/>
      <c r="D37" s="14"/>
      <c r="E37" s="14"/>
    </row>
    <row r="38" spans="3:9" ht="36.75" customHeight="1" x14ac:dyDescent="0.25">
      <c r="C38" s="51"/>
      <c r="D38" s="51"/>
      <c r="E38" s="51"/>
    </row>
    <row r="39" spans="3:9" x14ac:dyDescent="0.25">
      <c r="C39" s="51"/>
      <c r="D39" s="51"/>
      <c r="E39" s="51"/>
    </row>
    <row r="40" spans="3:9" x14ac:dyDescent="0.25">
      <c r="C40" s="51"/>
      <c r="D40" s="51"/>
      <c r="E40" s="51"/>
    </row>
    <row r="41" spans="3:9" x14ac:dyDescent="0.25">
      <c r="C41" s="51"/>
      <c r="D41" s="51"/>
      <c r="E41" s="51"/>
    </row>
    <row r="42" spans="3:9" x14ac:dyDescent="0.25">
      <c r="C42" s="51"/>
      <c r="D42" s="51"/>
      <c r="E42" s="51"/>
    </row>
    <row r="43" spans="3:9" ht="72.75" customHeight="1" x14ac:dyDescent="0.25">
      <c r="C43" s="51"/>
      <c r="D43" s="51"/>
      <c r="E43" s="51"/>
      <c r="H43" s="14"/>
      <c r="I43" s="14"/>
    </row>
    <row r="44" spans="3:9" x14ac:dyDescent="0.25">
      <c r="C44" s="51"/>
      <c r="D44" s="51"/>
      <c r="E44" s="51"/>
    </row>
  </sheetData>
  <mergeCells count="49">
    <mergeCell ref="G1:H1"/>
    <mergeCell ref="G2:H2"/>
    <mergeCell ref="J2:K2"/>
    <mergeCell ref="M2:N2"/>
    <mergeCell ref="CE2:CF2"/>
    <mergeCell ref="AB2:AC2"/>
    <mergeCell ref="AG2:AH2"/>
    <mergeCell ref="AL2:AM2"/>
    <mergeCell ref="AQ2:AR2"/>
    <mergeCell ref="AV2:AW2"/>
    <mergeCell ref="BA2:BB2"/>
    <mergeCell ref="BF2:BG2"/>
    <mergeCell ref="BK2:BL2"/>
    <mergeCell ref="BP2:BQ2"/>
    <mergeCell ref="BU2:BV2"/>
    <mergeCell ref="BZ2:CA2"/>
    <mergeCell ref="BD2:BD3"/>
    <mergeCell ref="AE2:AE3"/>
    <mergeCell ref="AJ2:AJ3"/>
    <mergeCell ref="AO2:AO3"/>
    <mergeCell ref="D29:G31"/>
    <mergeCell ref="P2:P3"/>
    <mergeCell ref="U2:U3"/>
    <mergeCell ref="Z2:Z3"/>
    <mergeCell ref="R2:S2"/>
    <mergeCell ref="W2:X2"/>
    <mergeCell ref="AT2:AT3"/>
    <mergeCell ref="AY2:AY3"/>
    <mergeCell ref="BX2:BX3"/>
    <mergeCell ref="CC2:CC3"/>
    <mergeCell ref="CH2:CH3"/>
    <mergeCell ref="BI2:BI3"/>
    <mergeCell ref="BN2:BN3"/>
    <mergeCell ref="BS2:BS3"/>
    <mergeCell ref="AQ1:AT1"/>
    <mergeCell ref="AV1:AY1"/>
    <mergeCell ref="M1:P1"/>
    <mergeCell ref="R1:U1"/>
    <mergeCell ref="W1:Z1"/>
    <mergeCell ref="AB1:AE1"/>
    <mergeCell ref="AG1:AJ1"/>
    <mergeCell ref="AL1:AO1"/>
    <mergeCell ref="BU1:BX1"/>
    <mergeCell ref="BZ1:CC1"/>
    <mergeCell ref="CE1:CH1"/>
    <mergeCell ref="BA1:BD1"/>
    <mergeCell ref="BF1:BI1"/>
    <mergeCell ref="BK1:BN1"/>
    <mergeCell ref="BP1:BS1"/>
  </mergeCells>
  <conditionalFormatting sqref="O5:O2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D1DA-1B1C-40C5-91E7-DF60A1F57FBA}">
  <dimension ref="A1:W54"/>
  <sheetViews>
    <sheetView tabSelected="1" topLeftCell="I1" zoomScale="70" zoomScaleNormal="70" workbookViewId="0">
      <selection activeCell="T44" sqref="T44:W44"/>
    </sheetView>
  </sheetViews>
  <sheetFormatPr baseColWidth="10" defaultRowHeight="15" x14ac:dyDescent="0.25"/>
  <cols>
    <col min="1" max="1" width="14.140625" customWidth="1"/>
    <col min="3" max="3" width="9.85546875" customWidth="1"/>
    <col min="4" max="4" width="5.140625" customWidth="1"/>
    <col min="5" max="5" width="3.85546875" customWidth="1"/>
    <col min="6" max="6" width="44.5703125" customWidth="1"/>
    <col min="7" max="7" width="39.28515625" customWidth="1"/>
    <col min="9" max="9" width="12" customWidth="1"/>
    <col min="11" max="11" width="13" customWidth="1"/>
    <col min="12" max="12" width="9.28515625" customWidth="1"/>
    <col min="13" max="13" width="11.42578125" style="133"/>
    <col min="14" max="14" width="9" customWidth="1"/>
    <col min="15" max="15" width="17.85546875" customWidth="1"/>
    <col min="16" max="16" width="19.140625" customWidth="1"/>
    <col min="17" max="17" width="9.140625" customWidth="1"/>
    <col min="18" max="18" width="4.28515625" customWidth="1"/>
  </cols>
  <sheetData>
    <row r="1" spans="1:23" x14ac:dyDescent="0.25">
      <c r="H1" s="361" t="s">
        <v>58</v>
      </c>
      <c r="I1" s="362"/>
      <c r="J1" s="350" t="s">
        <v>59</v>
      </c>
      <c r="K1" s="363"/>
      <c r="L1" s="364" t="s">
        <v>60</v>
      </c>
      <c r="M1" s="366" t="s">
        <v>61</v>
      </c>
    </row>
    <row r="2" spans="1:23" x14ac:dyDescent="0.25">
      <c r="A2" s="368" t="s">
        <v>62</v>
      </c>
      <c r="B2" s="369"/>
      <c r="C2" s="369"/>
      <c r="D2" s="370"/>
      <c r="H2" s="8" t="s">
        <v>63</v>
      </c>
      <c r="I2" s="9" t="s">
        <v>64</v>
      </c>
      <c r="J2" s="56" t="s">
        <v>65</v>
      </c>
      <c r="K2" s="60" t="s">
        <v>64</v>
      </c>
      <c r="L2" s="365"/>
      <c r="M2" s="367"/>
      <c r="O2" s="371" t="s">
        <v>66</v>
      </c>
      <c r="P2" s="372"/>
      <c r="T2" s="355" t="s">
        <v>229</v>
      </c>
      <c r="U2" s="356"/>
      <c r="V2" s="356"/>
      <c r="W2" s="357"/>
    </row>
    <row r="3" spans="1:23" ht="13.5" customHeight="1" thickBot="1" x14ac:dyDescent="0.3">
      <c r="A3" s="305" t="s">
        <v>67</v>
      </c>
      <c r="B3" s="306" t="s">
        <v>68</v>
      </c>
      <c r="C3" s="306" t="s">
        <v>69</v>
      </c>
      <c r="D3" s="307"/>
      <c r="G3" s="10"/>
      <c r="H3" s="12"/>
      <c r="I3" s="13"/>
      <c r="J3" s="15"/>
      <c r="K3" s="16"/>
      <c r="L3" s="17"/>
      <c r="M3" s="29"/>
      <c r="O3" s="112" t="s">
        <v>70</v>
      </c>
      <c r="P3" s="113">
        <v>-96.34</v>
      </c>
      <c r="T3" s="109" t="s">
        <v>67</v>
      </c>
      <c r="U3" s="110" t="s">
        <v>68</v>
      </c>
      <c r="V3" s="110" t="s">
        <v>69</v>
      </c>
      <c r="W3" s="111"/>
    </row>
    <row r="4" spans="1:23" ht="18.75" thickBot="1" x14ac:dyDescent="0.3">
      <c r="A4" s="305" t="s">
        <v>71</v>
      </c>
      <c r="B4" s="308">
        <v>0.30099999999999999</v>
      </c>
      <c r="C4" s="308">
        <v>2</v>
      </c>
      <c r="D4" s="307" t="s">
        <v>72</v>
      </c>
      <c r="F4" s="140" t="s">
        <v>47</v>
      </c>
      <c r="G4" s="115" t="s">
        <v>22</v>
      </c>
      <c r="H4" s="52" t="s">
        <v>73</v>
      </c>
      <c r="I4" s="116" t="s">
        <v>73</v>
      </c>
      <c r="J4" s="324" t="s">
        <v>73</v>
      </c>
      <c r="K4" s="325" t="s">
        <v>73</v>
      </c>
      <c r="L4" s="17"/>
      <c r="M4" s="17"/>
      <c r="T4" s="303" t="s">
        <v>71</v>
      </c>
      <c r="U4" s="304">
        <v>-4.4039999999999999</v>
      </c>
      <c r="V4" s="304">
        <v>-8.94</v>
      </c>
      <c r="W4" s="312" t="s">
        <v>72</v>
      </c>
    </row>
    <row r="5" spans="1:23" ht="17.25" customHeight="1" x14ac:dyDescent="0.25">
      <c r="A5" s="305" t="s">
        <v>74</v>
      </c>
      <c r="B5" s="308">
        <f>-6.67*EXP(-7)</f>
        <v>-6.0822527102486236E-3</v>
      </c>
      <c r="C5" s="308">
        <v>-0.2</v>
      </c>
      <c r="D5" s="307"/>
      <c r="G5" s="117" t="s">
        <v>23</v>
      </c>
      <c r="H5" s="324">
        <v>42</v>
      </c>
      <c r="I5" s="325">
        <f>B17*H5</f>
        <v>1.806E-2</v>
      </c>
      <c r="J5" s="324">
        <v>54</v>
      </c>
      <c r="K5" s="325">
        <f>B17*J5</f>
        <v>2.3220000000000001E-2</v>
      </c>
      <c r="L5" s="17">
        <f>J5-H5</f>
        <v>12</v>
      </c>
      <c r="M5" s="17">
        <f>K5-I5</f>
        <v>5.1600000000000014E-3</v>
      </c>
      <c r="O5" s="371" t="s">
        <v>75</v>
      </c>
      <c r="P5" s="372"/>
      <c r="T5" s="303" t="s">
        <v>74</v>
      </c>
      <c r="U5" s="304">
        <v>0.03</v>
      </c>
      <c r="V5" s="304">
        <v>8.08</v>
      </c>
      <c r="W5" s="312" t="s">
        <v>72</v>
      </c>
    </row>
    <row r="6" spans="1:23" ht="16.5" thickBot="1" x14ac:dyDescent="0.3">
      <c r="A6" s="305" t="s">
        <v>46</v>
      </c>
      <c r="B6" s="308">
        <v>-2395.71</v>
      </c>
      <c r="C6" s="308">
        <v>-0.57999999999999996</v>
      </c>
      <c r="D6" s="307"/>
      <c r="G6" s="118" t="s">
        <v>24</v>
      </c>
      <c r="H6" s="326" t="s">
        <v>73</v>
      </c>
      <c r="I6" s="327"/>
      <c r="J6" s="326" t="s">
        <v>73</v>
      </c>
      <c r="K6" s="327"/>
      <c r="L6" s="17"/>
      <c r="M6" s="17"/>
      <c r="O6" s="119" t="s">
        <v>70</v>
      </c>
      <c r="P6" s="120">
        <v>-96.34</v>
      </c>
      <c r="T6" s="114" t="s">
        <v>46</v>
      </c>
      <c r="U6" s="14"/>
      <c r="V6" s="14"/>
      <c r="W6" s="2"/>
    </row>
    <row r="7" spans="1:23" ht="18" x14ac:dyDescent="0.25">
      <c r="A7" s="305" t="s">
        <v>48</v>
      </c>
      <c r="B7" s="308"/>
      <c r="C7" s="308"/>
      <c r="D7" s="307"/>
      <c r="F7" s="144" t="s">
        <v>50</v>
      </c>
      <c r="G7" s="115" t="s">
        <v>25</v>
      </c>
      <c r="H7" s="324">
        <v>91</v>
      </c>
      <c r="I7" s="325">
        <f>EXP($B$29*LN(H7)+$B$31*H28+$B$33*LN(H7)*H28+$B$34*LN(H7)*H29+$B$35*H30)</f>
        <v>1529.5711552791211</v>
      </c>
      <c r="J7" s="324">
        <v>100</v>
      </c>
      <c r="K7" s="325">
        <f>EXP($B$29*LN(J7)+$B$31*J28+$B$33*LN(J7)*J28+$B$34*LN(J7)*J29+$B$35*J30)</f>
        <v>1641.510202520253</v>
      </c>
      <c r="L7" s="17">
        <f t="shared" ref="L7" si="0">J7-H7</f>
        <v>9</v>
      </c>
      <c r="M7" s="17">
        <f>K7-I7</f>
        <v>111.9390472411319</v>
      </c>
      <c r="T7" s="114" t="s">
        <v>48</v>
      </c>
      <c r="U7" s="14"/>
      <c r="V7" s="14"/>
      <c r="W7" s="2"/>
    </row>
    <row r="8" spans="1:23" x14ac:dyDescent="0.25">
      <c r="A8" s="305" t="s">
        <v>76</v>
      </c>
      <c r="B8" s="308"/>
      <c r="C8" s="308"/>
      <c r="D8" s="307"/>
      <c r="G8" s="121" t="s">
        <v>26</v>
      </c>
      <c r="H8" s="324">
        <v>48</v>
      </c>
      <c r="I8" s="325">
        <f>-EXP($B$29*LN(H8)+$B$31*H28+$B$33*LN(H8)*H28+$B$34*LN(H8)*H29+$B$35*H30)</f>
        <v>-947.38204369936614</v>
      </c>
      <c r="J8" s="324">
        <v>32</v>
      </c>
      <c r="K8" s="325">
        <f>-EXP($B$29*LN(J8)+$B$31*J28+$B$33*LN(J8)*J28+$B$34*LN(J8)*J29+$B$35*J30)</f>
        <v>-699.2788694990511</v>
      </c>
      <c r="L8" s="17">
        <f>J8-H8</f>
        <v>-16</v>
      </c>
      <c r="M8" s="17">
        <f>K8-I8</f>
        <v>248.10317420031504</v>
      </c>
      <c r="O8" s="355" t="s">
        <v>226</v>
      </c>
      <c r="P8" s="356"/>
      <c r="Q8" s="356"/>
      <c r="R8" s="357"/>
      <c r="T8" s="114" t="s">
        <v>76</v>
      </c>
      <c r="W8" s="2"/>
    </row>
    <row r="9" spans="1:23" x14ac:dyDescent="0.25">
      <c r="A9" s="305" t="s">
        <v>77</v>
      </c>
      <c r="B9" s="308"/>
      <c r="C9" s="308"/>
      <c r="D9" s="307"/>
      <c r="G9" s="122" t="s">
        <v>27</v>
      </c>
      <c r="H9" s="324" t="s">
        <v>73</v>
      </c>
      <c r="I9" s="325" t="s">
        <v>73</v>
      </c>
      <c r="J9" s="324" t="s">
        <v>73</v>
      </c>
      <c r="K9" s="325" t="s">
        <v>73</v>
      </c>
      <c r="L9" s="17"/>
      <c r="M9" s="17"/>
      <c r="O9" s="109" t="s">
        <v>67</v>
      </c>
      <c r="P9" s="110" t="s">
        <v>68</v>
      </c>
      <c r="Q9" s="110" t="s">
        <v>69</v>
      </c>
      <c r="R9" s="111"/>
      <c r="T9" s="114" t="s">
        <v>77</v>
      </c>
      <c r="W9" s="2"/>
    </row>
    <row r="10" spans="1:23" ht="24" customHeight="1" x14ac:dyDescent="0.25">
      <c r="A10" s="305" t="s">
        <v>78</v>
      </c>
      <c r="B10" s="308">
        <v>228520</v>
      </c>
      <c r="C10" s="308">
        <v>0.67</v>
      </c>
      <c r="D10" s="307"/>
      <c r="G10" s="123" t="s">
        <v>28</v>
      </c>
      <c r="H10" s="324">
        <v>0</v>
      </c>
      <c r="I10" s="325">
        <v>0</v>
      </c>
      <c r="J10" s="324">
        <v>0</v>
      </c>
      <c r="K10" s="325">
        <v>0</v>
      </c>
      <c r="L10" s="17">
        <f t="shared" ref="L10:M10" si="1">J10-H10</f>
        <v>0</v>
      </c>
      <c r="M10" s="17">
        <f t="shared" si="1"/>
        <v>0</v>
      </c>
      <c r="O10" s="303" t="s">
        <v>71</v>
      </c>
      <c r="P10" s="304">
        <v>-1.806</v>
      </c>
      <c r="Q10" s="304">
        <v>-6.68</v>
      </c>
      <c r="R10" s="312" t="s">
        <v>79</v>
      </c>
      <c r="T10" s="114" t="s">
        <v>78</v>
      </c>
      <c r="U10" s="14"/>
      <c r="V10" s="14"/>
      <c r="W10" s="2"/>
    </row>
    <row r="11" spans="1:23" x14ac:dyDescent="0.25">
      <c r="A11" s="305" t="s">
        <v>80</v>
      </c>
      <c r="B11" s="308">
        <v>-0.73099999999999998</v>
      </c>
      <c r="C11" s="308">
        <v>-0.36</v>
      </c>
      <c r="D11" s="307"/>
      <c r="G11" s="124" t="s">
        <v>29</v>
      </c>
      <c r="H11" s="324"/>
      <c r="I11" s="325"/>
      <c r="J11" s="324"/>
      <c r="K11" s="325"/>
      <c r="L11" s="17"/>
      <c r="M11" s="17"/>
      <c r="O11" s="114" t="s">
        <v>74</v>
      </c>
      <c r="P11" s="14">
        <v>1E-3</v>
      </c>
      <c r="Q11" s="14">
        <v>0.52</v>
      </c>
      <c r="R11" s="2"/>
      <c r="T11" s="114" t="s">
        <v>80</v>
      </c>
      <c r="U11" s="14"/>
      <c r="V11" s="14"/>
      <c r="W11" s="2"/>
    </row>
    <row r="12" spans="1:23" x14ac:dyDescent="0.25">
      <c r="A12" s="309" t="s">
        <v>81</v>
      </c>
      <c r="B12" s="310">
        <v>-477.64400000000001</v>
      </c>
      <c r="C12" s="310">
        <v>-0.2</v>
      </c>
      <c r="D12" s="311"/>
      <c r="G12" s="124" t="s">
        <v>30</v>
      </c>
      <c r="H12" s="328">
        <v>1.2</v>
      </c>
      <c r="I12" s="325">
        <f>H12*$P$22</f>
        <v>0.39479999999999998</v>
      </c>
      <c r="J12" s="328">
        <v>1.5</v>
      </c>
      <c r="K12" s="325">
        <f>J12*$P$22</f>
        <v>0.49350000000000005</v>
      </c>
      <c r="L12" s="17">
        <f t="shared" ref="L12:M14" si="2">J12-H12</f>
        <v>0.30000000000000004</v>
      </c>
      <c r="M12" s="17">
        <f t="shared" si="2"/>
        <v>9.8700000000000065E-2</v>
      </c>
      <c r="O12" s="114" t="s">
        <v>46</v>
      </c>
      <c r="P12" s="14"/>
      <c r="Q12" s="14"/>
      <c r="R12" s="2"/>
      <c r="T12" s="314" t="s">
        <v>81</v>
      </c>
      <c r="U12" s="315">
        <v>168.13</v>
      </c>
      <c r="V12" s="323">
        <v>10.37</v>
      </c>
      <c r="W12" s="316" t="s">
        <v>82</v>
      </c>
    </row>
    <row r="13" spans="1:23" x14ac:dyDescent="0.25">
      <c r="G13" s="124" t="s">
        <v>32</v>
      </c>
      <c r="H13" s="324">
        <v>190</v>
      </c>
      <c r="I13" s="325">
        <f>H13*$P$23</f>
        <v>90.06</v>
      </c>
      <c r="J13" s="324">
        <v>132</v>
      </c>
      <c r="K13" s="325">
        <f>J13*$P$23</f>
        <v>62.567999999999998</v>
      </c>
      <c r="L13" s="17">
        <f t="shared" si="2"/>
        <v>-58</v>
      </c>
      <c r="M13" s="17">
        <f t="shared" si="2"/>
        <v>-27.492000000000004</v>
      </c>
      <c r="O13" s="114" t="s">
        <v>48</v>
      </c>
      <c r="P13" s="14"/>
      <c r="Q13" s="14"/>
      <c r="R13" s="2"/>
    </row>
    <row r="14" spans="1:23" x14ac:dyDescent="0.25">
      <c r="G14" s="124" t="s">
        <v>33</v>
      </c>
      <c r="H14" s="324">
        <v>103.41</v>
      </c>
      <c r="I14" s="332">
        <f>H14*$P$24</f>
        <v>47.46519</v>
      </c>
      <c r="J14" s="324">
        <v>100.935</v>
      </c>
      <c r="K14" s="329">
        <f>J14*$P$24</f>
        <v>46.329165000000003</v>
      </c>
      <c r="L14" s="17">
        <f t="shared" si="2"/>
        <v>-2.4749999999999943</v>
      </c>
      <c r="M14" s="17">
        <f t="shared" si="2"/>
        <v>-1.1360249999999965</v>
      </c>
      <c r="O14" s="114" t="s">
        <v>76</v>
      </c>
      <c r="P14" s="14"/>
      <c r="Q14" s="14"/>
      <c r="R14" s="2"/>
      <c r="T14" s="373" t="s">
        <v>83</v>
      </c>
      <c r="U14" s="379"/>
      <c r="V14" s="379"/>
      <c r="W14" s="374"/>
    </row>
    <row r="15" spans="1:23" x14ac:dyDescent="0.25">
      <c r="A15" s="355" t="s">
        <v>224</v>
      </c>
      <c r="B15" s="356"/>
      <c r="C15" s="356"/>
      <c r="D15" s="357"/>
      <c r="G15" s="124" t="s">
        <v>34</v>
      </c>
      <c r="H15" s="324">
        <v>663.34500000000003</v>
      </c>
      <c r="I15" s="325"/>
      <c r="J15" s="324">
        <v>830.47499999999991</v>
      </c>
      <c r="K15" s="325"/>
      <c r="L15" s="17"/>
      <c r="M15" s="17"/>
      <c r="O15" s="114" t="s">
        <v>77</v>
      </c>
      <c r="P15" s="14"/>
      <c r="Q15" s="14"/>
      <c r="R15" s="2"/>
      <c r="T15" s="358" t="s">
        <v>67</v>
      </c>
      <c r="U15" s="359"/>
      <c r="V15" s="359" t="s">
        <v>84</v>
      </c>
      <c r="W15" s="360"/>
    </row>
    <row r="16" spans="1:23" x14ac:dyDescent="0.25">
      <c r="A16" s="109" t="s">
        <v>67</v>
      </c>
      <c r="B16" s="110" t="s">
        <v>68</v>
      </c>
      <c r="C16" s="110" t="s">
        <v>69</v>
      </c>
      <c r="D16" s="111"/>
      <c r="G16" s="124" t="s">
        <v>35</v>
      </c>
      <c r="H16" s="324">
        <v>89.50500000000001</v>
      </c>
      <c r="I16" s="325"/>
      <c r="J16" s="324">
        <v>161.32499999999999</v>
      </c>
      <c r="K16" s="325"/>
      <c r="L16" s="17"/>
      <c r="M16" s="17"/>
      <c r="O16" s="303" t="s">
        <v>78</v>
      </c>
      <c r="P16" s="304">
        <v>40.427</v>
      </c>
      <c r="Q16" s="313">
        <v>11.53</v>
      </c>
      <c r="R16" s="312" t="s">
        <v>79</v>
      </c>
      <c r="T16" s="375">
        <v>0.01</v>
      </c>
      <c r="U16" s="376"/>
      <c r="V16" s="377">
        <v>61.36</v>
      </c>
      <c r="W16" s="378"/>
    </row>
    <row r="17" spans="1:23" x14ac:dyDescent="0.25">
      <c r="A17" s="303" t="s">
        <v>71</v>
      </c>
      <c r="B17" s="304">
        <v>4.2999999999999999E-4</v>
      </c>
      <c r="C17" s="304">
        <v>10.88</v>
      </c>
      <c r="D17" s="2" t="s">
        <v>82</v>
      </c>
      <c r="G17" s="124" t="s">
        <v>36</v>
      </c>
      <c r="H17" s="324">
        <v>6.138749999999999</v>
      </c>
      <c r="I17" s="325"/>
      <c r="J17" s="324">
        <v>7.9162499999999998</v>
      </c>
      <c r="K17" s="325"/>
      <c r="L17" s="17"/>
      <c r="M17" s="17"/>
      <c r="O17" s="303" t="s">
        <v>80</v>
      </c>
      <c r="P17" s="304">
        <v>0.50800000000000001</v>
      </c>
      <c r="Q17" s="304">
        <v>38.909999999999997</v>
      </c>
      <c r="R17" s="312" t="s">
        <v>72</v>
      </c>
    </row>
    <row r="18" spans="1:23" ht="16.5" customHeight="1" x14ac:dyDescent="0.25">
      <c r="A18" s="114" t="s">
        <v>74</v>
      </c>
      <c r="B18" s="14">
        <v>-2E-3</v>
      </c>
      <c r="C18" s="14">
        <v>-0.88</v>
      </c>
      <c r="D18" s="2"/>
      <c r="G18" s="129" t="s">
        <v>37</v>
      </c>
      <c r="H18" s="324">
        <v>419</v>
      </c>
      <c r="I18" s="325">
        <f>EXP($P$31*H18+$P$32*(H18^2)+$P$35*$H$28*$P$31+$P$37*$H$30+$P$38*$H$31+$P$39)</f>
        <v>62908.035492664974</v>
      </c>
      <c r="J18" s="324">
        <v>507</v>
      </c>
      <c r="K18" s="325">
        <f>EXP($P$31*J18+$P$32*(J18^2)+$P$35*$H$28*$P$31+$P$37*$H$30+$P$38*$H$31+$P$39)</f>
        <v>64241.829881221151</v>
      </c>
      <c r="L18" s="17">
        <f t="shared" ref="L18" si="3">J18-H18</f>
        <v>88</v>
      </c>
      <c r="M18" s="17">
        <f>K18-I18</f>
        <v>1333.7943885561763</v>
      </c>
      <c r="N18" s="49"/>
      <c r="O18" s="314" t="s">
        <v>81</v>
      </c>
      <c r="P18" s="315">
        <v>-825.58</v>
      </c>
      <c r="Q18" s="315">
        <v>-12.9</v>
      </c>
      <c r="R18" s="316" t="s">
        <v>72</v>
      </c>
      <c r="T18" s="373" t="s">
        <v>85</v>
      </c>
      <c r="U18" s="379"/>
      <c r="V18" s="379"/>
      <c r="W18" s="374"/>
    </row>
    <row r="19" spans="1:23" x14ac:dyDescent="0.25">
      <c r="A19" s="114" t="s">
        <v>46</v>
      </c>
      <c r="B19" s="14">
        <v>137.91200000000001</v>
      </c>
      <c r="C19" s="14">
        <v>0.57999999999999996</v>
      </c>
      <c r="D19" s="2"/>
      <c r="G19" s="130" t="s">
        <v>38</v>
      </c>
      <c r="H19" s="324" t="s">
        <v>73</v>
      </c>
      <c r="I19" s="325"/>
      <c r="J19" s="324" t="s">
        <v>73</v>
      </c>
      <c r="K19" s="325"/>
      <c r="L19" s="17"/>
      <c r="M19" s="17"/>
      <c r="T19" s="358" t="s">
        <v>67</v>
      </c>
      <c r="U19" s="359"/>
      <c r="V19" s="359" t="s">
        <v>84</v>
      </c>
      <c r="W19" s="360"/>
    </row>
    <row r="20" spans="1:23" ht="18" customHeight="1" thickBot="1" x14ac:dyDescent="0.3">
      <c r="A20" s="114" t="s">
        <v>48</v>
      </c>
      <c r="B20" s="14"/>
      <c r="C20" s="14"/>
      <c r="D20" s="2"/>
      <c r="G20" s="131" t="s">
        <v>39</v>
      </c>
      <c r="H20" s="324">
        <f>100-36</f>
        <v>64</v>
      </c>
      <c r="I20" s="325">
        <f>$U$4*H20+$U$5*H20^2 + $U$12</f>
        <v>9.1539999999999964</v>
      </c>
      <c r="J20" s="324">
        <f>100-30</f>
        <v>70</v>
      </c>
      <c r="K20" s="325">
        <f>$U$4*J20+$U$5*J20^2 + $U$12</f>
        <v>6.8500000000000227</v>
      </c>
      <c r="L20" s="17">
        <f>J20-H20</f>
        <v>6</v>
      </c>
      <c r="M20" s="39">
        <f>K20-I20</f>
        <v>-2.3039999999999736</v>
      </c>
      <c r="O20" s="373" t="s">
        <v>29</v>
      </c>
      <c r="P20" s="374"/>
      <c r="T20" s="375" t="s">
        <v>86</v>
      </c>
      <c r="U20" s="376"/>
      <c r="V20" s="377">
        <v>75.010000000000005</v>
      </c>
      <c r="W20" s="378"/>
    </row>
    <row r="21" spans="1:23" ht="18.75" thickBot="1" x14ac:dyDescent="0.3">
      <c r="A21" s="114" t="s">
        <v>76</v>
      </c>
      <c r="B21" s="14"/>
      <c r="C21" s="14"/>
      <c r="D21" s="2"/>
      <c r="F21" s="149"/>
      <c r="G21" s="40" t="s">
        <v>40</v>
      </c>
      <c r="H21" s="324">
        <v>36</v>
      </c>
      <c r="I21" s="325">
        <f>H21*$V$16</f>
        <v>2208.96</v>
      </c>
      <c r="J21" s="324">
        <v>30</v>
      </c>
      <c r="K21" s="325">
        <f>J21*$V$16</f>
        <v>1840.8</v>
      </c>
      <c r="L21" s="17">
        <f t="shared" ref="L21:M25" si="4">J21-H21</f>
        <v>-6</v>
      </c>
      <c r="M21" s="39">
        <f t="shared" si="4"/>
        <v>-368.16000000000008</v>
      </c>
      <c r="O21" s="317" t="s">
        <v>87</v>
      </c>
      <c r="P21" s="318" t="s">
        <v>84</v>
      </c>
    </row>
    <row r="22" spans="1:23" ht="15.75" customHeight="1" thickBot="1" x14ac:dyDescent="0.3">
      <c r="A22" s="114" t="s">
        <v>77</v>
      </c>
      <c r="B22" s="14"/>
      <c r="C22" s="14"/>
      <c r="D22" s="2"/>
      <c r="F22" s="157" t="s">
        <v>109</v>
      </c>
      <c r="G22" s="41" t="s">
        <v>41</v>
      </c>
      <c r="H22" s="324">
        <v>1</v>
      </c>
      <c r="I22" s="325">
        <f>H22*$V$20</f>
        <v>75.010000000000005</v>
      </c>
      <c r="J22" s="324">
        <v>1</v>
      </c>
      <c r="K22" s="325">
        <f>J22*$V$20</f>
        <v>75.010000000000005</v>
      </c>
      <c r="L22" s="17">
        <f t="shared" si="4"/>
        <v>0</v>
      </c>
      <c r="M22" s="17">
        <f t="shared" si="4"/>
        <v>0</v>
      </c>
      <c r="O22" s="319" t="s">
        <v>88</v>
      </c>
      <c r="P22" s="320">
        <v>0.32900000000000001</v>
      </c>
      <c r="T22" s="373" t="s">
        <v>89</v>
      </c>
      <c r="U22" s="379"/>
      <c r="V22" s="379"/>
      <c r="W22" s="374"/>
    </row>
    <row r="23" spans="1:23" x14ac:dyDescent="0.25">
      <c r="A23" s="114" t="s">
        <v>78</v>
      </c>
      <c r="B23" s="14">
        <v>-68.459999999999994</v>
      </c>
      <c r="C23" s="14">
        <v>-0.8</v>
      </c>
      <c r="D23" s="2"/>
      <c r="G23" s="123" t="s">
        <v>42</v>
      </c>
      <c r="H23" s="324">
        <v>3</v>
      </c>
      <c r="I23" s="325">
        <f>$V$24/4*H23</f>
        <v>419.22</v>
      </c>
      <c r="J23" s="324">
        <v>4</v>
      </c>
      <c r="K23" s="325">
        <f>$V$24/4*J23</f>
        <v>558.96</v>
      </c>
      <c r="L23" s="17">
        <f t="shared" si="4"/>
        <v>1</v>
      </c>
      <c r="M23" s="17">
        <f t="shared" si="4"/>
        <v>139.74</v>
      </c>
      <c r="O23" s="319" t="s">
        <v>32</v>
      </c>
      <c r="P23" s="320">
        <v>0.47399999999999998</v>
      </c>
      <c r="T23" s="358" t="s">
        <v>67</v>
      </c>
      <c r="U23" s="359"/>
      <c r="V23" s="359" t="s">
        <v>84</v>
      </c>
      <c r="W23" s="360"/>
    </row>
    <row r="24" spans="1:23" x14ac:dyDescent="0.25">
      <c r="A24" s="114" t="s">
        <v>80</v>
      </c>
      <c r="B24" s="14">
        <v>0.55400000000000005</v>
      </c>
      <c r="C24" s="14">
        <v>0.98</v>
      </c>
      <c r="D24" s="2"/>
      <c r="G24" s="123" t="s">
        <v>43</v>
      </c>
      <c r="H24" s="324">
        <v>30</v>
      </c>
      <c r="I24" s="325">
        <f>H24*(($V$28+$V$29)/2)</f>
        <v>282.9320046990826</v>
      </c>
      <c r="J24" s="324">
        <v>30</v>
      </c>
      <c r="K24" s="325">
        <f>J24*(($V$28+$V$29)/2)</f>
        <v>282.9320046990826</v>
      </c>
      <c r="L24" s="17">
        <f t="shared" si="4"/>
        <v>0</v>
      </c>
      <c r="M24" s="17">
        <f t="shared" si="4"/>
        <v>0</v>
      </c>
      <c r="O24" s="319" t="s">
        <v>33</v>
      </c>
      <c r="P24" s="320">
        <v>0.45900000000000002</v>
      </c>
      <c r="T24" s="375" t="s">
        <v>90</v>
      </c>
      <c r="U24" s="376"/>
      <c r="V24" s="377">
        <v>558.96</v>
      </c>
      <c r="W24" s="378"/>
    </row>
    <row r="25" spans="1:23" x14ac:dyDescent="0.25">
      <c r="A25" s="125" t="s">
        <v>81</v>
      </c>
      <c r="B25" s="126">
        <v>-23.558</v>
      </c>
      <c r="C25" s="126">
        <v>-0.44</v>
      </c>
      <c r="D25" s="7"/>
      <c r="G25" s="124" t="s">
        <v>44</v>
      </c>
      <c r="H25" s="324">
        <v>2</v>
      </c>
      <c r="I25" s="325">
        <f>H25*$U$34+$U$36*H28+$U$37*H29+$U$42</f>
        <v>7763.5499999999993</v>
      </c>
      <c r="J25" s="324">
        <v>10</v>
      </c>
      <c r="K25" s="325">
        <f>J25*$U$34+$U$36*J28+$U$37*J29+$U$42</f>
        <v>20008.590000000004</v>
      </c>
      <c r="L25" s="17">
        <f t="shared" si="4"/>
        <v>8</v>
      </c>
      <c r="M25" s="17">
        <f t="shared" si="4"/>
        <v>12245.040000000005</v>
      </c>
      <c r="O25" s="319" t="s">
        <v>34</v>
      </c>
      <c r="P25" s="320"/>
    </row>
    <row r="26" spans="1:23" ht="15.75" thickBot="1" x14ac:dyDescent="0.3">
      <c r="G26" s="132" t="s">
        <v>45</v>
      </c>
      <c r="H26" s="330">
        <v>1</v>
      </c>
      <c r="I26" s="331">
        <f>H26*$U$46</f>
        <v>5726.38</v>
      </c>
      <c r="J26" s="330">
        <v>2</v>
      </c>
      <c r="K26" s="331">
        <f>J26*$U$46</f>
        <v>11452.76</v>
      </c>
      <c r="L26" s="42">
        <f>J26-H26</f>
        <v>1</v>
      </c>
      <c r="M26" s="42">
        <f>K26-I26</f>
        <v>5726.38</v>
      </c>
      <c r="N26" s="49"/>
      <c r="O26" s="319" t="s">
        <v>35</v>
      </c>
      <c r="P26" s="320"/>
      <c r="T26" s="373" t="s">
        <v>91</v>
      </c>
      <c r="U26" s="379"/>
      <c r="V26" s="379"/>
      <c r="W26" s="374"/>
    </row>
    <row r="27" spans="1:23" x14ac:dyDescent="0.25">
      <c r="A27" s="355" t="s">
        <v>225</v>
      </c>
      <c r="B27" s="356"/>
      <c r="C27" s="356"/>
      <c r="D27" s="357"/>
      <c r="G27" s="10" t="s">
        <v>67</v>
      </c>
      <c r="H27" s="44" t="s">
        <v>92</v>
      </c>
      <c r="I27" s="44"/>
      <c r="J27" s="44" t="s">
        <v>92</v>
      </c>
      <c r="K27" s="10"/>
      <c r="L27" s="10"/>
      <c r="M27" s="50"/>
      <c r="O27" s="321" t="s">
        <v>36</v>
      </c>
      <c r="P27" s="322"/>
      <c r="T27" s="358" t="s">
        <v>67</v>
      </c>
      <c r="U27" s="359"/>
      <c r="V27" s="359" t="s">
        <v>93</v>
      </c>
      <c r="W27" s="360"/>
    </row>
    <row r="28" spans="1:23" x14ac:dyDescent="0.25">
      <c r="A28" s="109" t="s">
        <v>67</v>
      </c>
      <c r="B28" s="110" t="s">
        <v>68</v>
      </c>
      <c r="C28" s="110" t="s">
        <v>69</v>
      </c>
      <c r="D28" s="111"/>
      <c r="G28" s="45" t="s">
        <v>46</v>
      </c>
      <c r="H28" s="46">
        <v>0</v>
      </c>
      <c r="I28" s="46"/>
      <c r="J28" s="46">
        <v>0</v>
      </c>
      <c r="K28" s="10"/>
      <c r="L28" s="10"/>
      <c r="M28" s="50"/>
      <c r="T28" s="380" t="s">
        <v>94</v>
      </c>
      <c r="U28" s="381"/>
      <c r="V28" s="359">
        <f>322.035/97</f>
        <v>3.3199484536082475</v>
      </c>
      <c r="W28" s="360"/>
    </row>
    <row r="29" spans="1:23" x14ac:dyDescent="0.25">
      <c r="A29" s="303" t="s">
        <v>95</v>
      </c>
      <c r="B29" s="304">
        <v>0.71120000000000005</v>
      </c>
      <c r="C29" s="304">
        <v>2.99</v>
      </c>
      <c r="D29" s="312" t="s">
        <v>82</v>
      </c>
      <c r="G29" s="45" t="s">
        <v>48</v>
      </c>
      <c r="H29" s="46">
        <v>1</v>
      </c>
      <c r="I29" s="46"/>
      <c r="J29" s="46">
        <v>1</v>
      </c>
      <c r="K29" s="10"/>
      <c r="L29" s="10"/>
      <c r="M29" s="50"/>
      <c r="O29" s="355" t="s">
        <v>227</v>
      </c>
      <c r="P29" s="356"/>
      <c r="Q29" s="356"/>
      <c r="R29" s="357"/>
      <c r="T29" s="358" t="s">
        <v>94</v>
      </c>
      <c r="U29" s="359"/>
      <c r="V29" s="359">
        <f>4421.13/284.46</f>
        <v>15.542185192997259</v>
      </c>
      <c r="W29" s="360"/>
    </row>
    <row r="30" spans="1:23" x14ac:dyDescent="0.25">
      <c r="A30" s="114" t="s">
        <v>96</v>
      </c>
      <c r="B30" s="14">
        <v>-0.1479</v>
      </c>
      <c r="C30" s="14">
        <v>-1.5</v>
      </c>
      <c r="D30" s="2"/>
      <c r="G30" s="45" t="s">
        <v>51</v>
      </c>
      <c r="H30" s="46">
        <v>16.7</v>
      </c>
      <c r="I30" s="46"/>
      <c r="J30" s="46">
        <v>16.7</v>
      </c>
      <c r="K30" s="10"/>
      <c r="L30" s="10"/>
      <c r="M30" s="50"/>
      <c r="O30" s="109" t="s">
        <v>67</v>
      </c>
      <c r="P30" s="110" t="s">
        <v>68</v>
      </c>
      <c r="Q30" s="110" t="s">
        <v>69</v>
      </c>
      <c r="R30" s="111"/>
      <c r="T30" s="382" t="s">
        <v>97</v>
      </c>
      <c r="U30" s="377"/>
      <c r="V30" s="377">
        <f>25957.33/5222.13</f>
        <v>4.9706403325845967</v>
      </c>
      <c r="W30" s="378"/>
    </row>
    <row r="31" spans="1:23" x14ac:dyDescent="0.25">
      <c r="A31" s="303" t="s">
        <v>46</v>
      </c>
      <c r="B31" s="304">
        <v>-1.67</v>
      </c>
      <c r="C31" s="304">
        <v>-1.99</v>
      </c>
      <c r="D31" s="312" t="s">
        <v>79</v>
      </c>
      <c r="G31" s="45" t="s">
        <v>53</v>
      </c>
      <c r="H31" s="46">
        <v>644</v>
      </c>
      <c r="I31" s="48"/>
      <c r="J31" s="46">
        <v>644</v>
      </c>
      <c r="K31" s="48"/>
      <c r="L31" s="10"/>
      <c r="M31" s="50"/>
      <c r="O31" s="303" t="s">
        <v>71</v>
      </c>
      <c r="P31" s="304">
        <v>2.41E-4</v>
      </c>
      <c r="Q31" s="304">
        <v>43.98</v>
      </c>
      <c r="R31" s="312" t="s">
        <v>72</v>
      </c>
    </row>
    <row r="32" spans="1:23" x14ac:dyDescent="0.25">
      <c r="A32" s="114" t="s">
        <v>48</v>
      </c>
      <c r="B32" s="14">
        <v>-1.4837</v>
      </c>
      <c r="C32" s="14">
        <v>-1.32</v>
      </c>
      <c r="D32" s="2"/>
      <c r="I32" s="49"/>
      <c r="K32" s="49"/>
      <c r="O32" s="303" t="s">
        <v>74</v>
      </c>
      <c r="P32" s="304">
        <v>-2.7900000000000001E-9</v>
      </c>
      <c r="Q32" s="304">
        <v>-38.85</v>
      </c>
      <c r="R32" s="312" t="s">
        <v>72</v>
      </c>
      <c r="T32" s="355" t="s">
        <v>230</v>
      </c>
      <c r="U32" s="356"/>
      <c r="V32" s="356"/>
      <c r="W32" s="357"/>
    </row>
    <row r="33" spans="1:23" ht="15.75" thickBot="1" x14ac:dyDescent="0.3">
      <c r="A33" s="303" t="s">
        <v>76</v>
      </c>
      <c r="B33" s="304">
        <v>5.0999999999999997E-2</v>
      </c>
      <c r="C33" s="304">
        <v>3.16</v>
      </c>
      <c r="D33" s="312" t="s">
        <v>82</v>
      </c>
      <c r="O33" s="114" t="s">
        <v>46</v>
      </c>
      <c r="P33" s="14"/>
      <c r="Q33" s="14"/>
      <c r="R33" s="2"/>
      <c r="T33" s="109" t="s">
        <v>67</v>
      </c>
      <c r="U33" s="110" t="s">
        <v>68</v>
      </c>
      <c r="V33" s="110" t="s">
        <v>69</v>
      </c>
      <c r="W33" s="111"/>
    </row>
    <row r="34" spans="1:23" ht="18.75" thickBot="1" x14ac:dyDescent="0.3">
      <c r="A34" s="303" t="s">
        <v>77</v>
      </c>
      <c r="B34" s="304">
        <v>3.7699999999999997E-2</v>
      </c>
      <c r="C34" s="304">
        <v>2.7</v>
      </c>
      <c r="D34" s="312" t="s">
        <v>82</v>
      </c>
      <c r="G34" s="140"/>
      <c r="O34" s="114" t="s">
        <v>48</v>
      </c>
      <c r="P34" s="14"/>
      <c r="Q34" s="14"/>
      <c r="R34" s="2"/>
      <c r="T34" s="303" t="s">
        <v>71</v>
      </c>
      <c r="U34" s="304">
        <v>1530.63</v>
      </c>
      <c r="V34" s="304">
        <v>2.84</v>
      </c>
      <c r="W34" s="312" t="s">
        <v>82</v>
      </c>
    </row>
    <row r="35" spans="1:23" ht="18.75" thickBot="1" x14ac:dyDescent="0.3">
      <c r="A35" s="303" t="s">
        <v>78</v>
      </c>
      <c r="B35" s="304">
        <v>0.23680000000000001</v>
      </c>
      <c r="C35" s="313">
        <v>3.35</v>
      </c>
      <c r="D35" s="312" t="s">
        <v>82</v>
      </c>
      <c r="G35" s="144"/>
      <c r="O35" s="303" t="s">
        <v>76</v>
      </c>
      <c r="P35" s="304">
        <v>3.0999999999999999E-3</v>
      </c>
      <c r="Q35" s="304">
        <v>16.420000000000002</v>
      </c>
      <c r="R35" s="312" t="s">
        <v>72</v>
      </c>
      <c r="T35" s="114" t="s">
        <v>74</v>
      </c>
      <c r="U35" s="14"/>
      <c r="V35" s="14"/>
      <c r="W35" s="2"/>
    </row>
    <row r="36" spans="1:23" ht="18.75" customHeight="1" thickBot="1" x14ac:dyDescent="0.3">
      <c r="A36" s="114" t="s">
        <v>80</v>
      </c>
      <c r="B36" s="14">
        <v>9.0000000000000006E-5</v>
      </c>
      <c r="C36" s="14">
        <v>0.77</v>
      </c>
      <c r="D36" s="2"/>
      <c r="G36" s="149"/>
      <c r="O36" s="114" t="s">
        <v>77</v>
      </c>
      <c r="P36" s="14"/>
      <c r="Q36" s="14"/>
      <c r="R36" s="2"/>
      <c r="T36" s="303" t="s">
        <v>46</v>
      </c>
      <c r="U36" s="304">
        <v>-25266.400000000001</v>
      </c>
      <c r="V36" s="304">
        <v>-5.9</v>
      </c>
      <c r="W36" s="312" t="s">
        <v>82</v>
      </c>
    </row>
    <row r="37" spans="1:23" ht="18.75" thickBot="1" x14ac:dyDescent="0.3">
      <c r="A37" s="125" t="s">
        <v>81</v>
      </c>
      <c r="B37" s="126">
        <v>1.4676</v>
      </c>
      <c r="C37" s="126">
        <v>1.22</v>
      </c>
      <c r="D37" s="7"/>
      <c r="G37" s="157"/>
      <c r="O37" s="303" t="s">
        <v>78</v>
      </c>
      <c r="P37" s="304">
        <v>1.2534000000000001</v>
      </c>
      <c r="Q37" s="313">
        <v>41.4</v>
      </c>
      <c r="R37" s="312" t="s">
        <v>72</v>
      </c>
      <c r="T37" s="303" t="s">
        <v>48</v>
      </c>
      <c r="U37" s="304">
        <v>-25450.2</v>
      </c>
      <c r="V37" s="304">
        <v>-5.86</v>
      </c>
      <c r="W37" s="312" t="s">
        <v>82</v>
      </c>
    </row>
    <row r="38" spans="1:23" x14ac:dyDescent="0.25">
      <c r="G38" s="51"/>
      <c r="O38" s="303" t="s">
        <v>80</v>
      </c>
      <c r="P38" s="304">
        <v>-2.16E-3</v>
      </c>
      <c r="Q38" s="304">
        <v>-6.48</v>
      </c>
      <c r="R38" s="312" t="s">
        <v>79</v>
      </c>
      <c r="T38" s="114" t="s">
        <v>76</v>
      </c>
      <c r="U38" s="14"/>
      <c r="V38" s="14"/>
      <c r="W38" s="2"/>
    </row>
    <row r="39" spans="1:23" x14ac:dyDescent="0.25">
      <c r="G39" s="51"/>
      <c r="O39" s="314" t="s">
        <v>81</v>
      </c>
      <c r="P39" s="315">
        <v>-8.5917999999999992</v>
      </c>
      <c r="Q39" s="315">
        <v>-50.72</v>
      </c>
      <c r="R39" s="316" t="s">
        <v>72</v>
      </c>
      <c r="T39" s="114" t="s">
        <v>77</v>
      </c>
      <c r="U39" s="14"/>
      <c r="V39" s="14"/>
      <c r="W39" s="2"/>
    </row>
    <row r="40" spans="1:23" x14ac:dyDescent="0.25">
      <c r="G40" s="51"/>
      <c r="T40" s="114" t="s">
        <v>78</v>
      </c>
      <c r="U40" s="14">
        <v>-135.69999999999999</v>
      </c>
      <c r="V40" s="128">
        <v>0.746</v>
      </c>
      <c r="W40" s="2"/>
    </row>
    <row r="41" spans="1:23" x14ac:dyDescent="0.25">
      <c r="G41" s="51"/>
      <c r="O41" s="355" t="s">
        <v>228</v>
      </c>
      <c r="P41" s="356"/>
      <c r="Q41" s="356"/>
      <c r="R41" s="357"/>
      <c r="T41" s="114" t="s">
        <v>80</v>
      </c>
      <c r="U41" s="14">
        <v>-20.231999999999999</v>
      </c>
      <c r="V41" s="14">
        <v>0.156</v>
      </c>
      <c r="W41" s="2"/>
    </row>
    <row r="42" spans="1:23" x14ac:dyDescent="0.25">
      <c r="G42" s="51"/>
      <c r="O42" s="109" t="s">
        <v>67</v>
      </c>
      <c r="P42" s="110" t="s">
        <v>68</v>
      </c>
      <c r="Q42" s="110" t="s">
        <v>69</v>
      </c>
      <c r="R42" s="111"/>
      <c r="T42" s="314" t="s">
        <v>81</v>
      </c>
      <c r="U42" s="315">
        <v>30152.49</v>
      </c>
      <c r="V42" s="315">
        <v>2.61</v>
      </c>
      <c r="W42" s="316" t="s">
        <v>82</v>
      </c>
    </row>
    <row r="43" spans="1:23" x14ac:dyDescent="0.25">
      <c r="G43" s="51"/>
      <c r="I43" s="16"/>
      <c r="O43" s="303" t="s">
        <v>71</v>
      </c>
      <c r="P43" s="304">
        <v>2.0000000000000001E-4</v>
      </c>
      <c r="Q43" s="304">
        <v>3.82</v>
      </c>
      <c r="R43" s="312" t="s">
        <v>79</v>
      </c>
    </row>
    <row r="44" spans="1:23" x14ac:dyDescent="0.25">
      <c r="G44" s="51"/>
      <c r="O44" s="303" t="s">
        <v>74</v>
      </c>
      <c r="P44" s="304">
        <v>-2.8200000000000002E-9</v>
      </c>
      <c r="Q44" s="304">
        <v>-3.38</v>
      </c>
      <c r="R44" s="312" t="s">
        <v>82</v>
      </c>
      <c r="T44" s="355" t="s">
        <v>231</v>
      </c>
      <c r="U44" s="356"/>
      <c r="V44" s="356"/>
      <c r="W44" s="357"/>
    </row>
    <row r="45" spans="1:23" x14ac:dyDescent="0.25">
      <c r="O45" s="114" t="s">
        <v>46</v>
      </c>
      <c r="P45" s="14"/>
      <c r="Q45" s="14"/>
      <c r="R45" s="2"/>
      <c r="T45" s="109" t="s">
        <v>67</v>
      </c>
      <c r="U45" s="110" t="s">
        <v>68</v>
      </c>
      <c r="V45" s="110" t="s">
        <v>69</v>
      </c>
      <c r="W45" s="111"/>
    </row>
    <row r="46" spans="1:23" x14ac:dyDescent="0.25">
      <c r="O46" s="114" t="s">
        <v>48</v>
      </c>
      <c r="P46" s="14"/>
      <c r="Q46" s="14"/>
      <c r="R46" s="2"/>
      <c r="T46" s="303" t="s">
        <v>71</v>
      </c>
      <c r="U46" s="304">
        <v>5726.38</v>
      </c>
      <c r="V46" s="304">
        <v>9.2100000000000009</v>
      </c>
      <c r="W46" s="312" t="s">
        <v>72</v>
      </c>
    </row>
    <row r="47" spans="1:23" x14ac:dyDescent="0.25">
      <c r="O47" s="114" t="s">
        <v>76</v>
      </c>
      <c r="R47" s="2"/>
      <c r="T47" s="114" t="s">
        <v>74</v>
      </c>
      <c r="U47" s="14"/>
      <c r="V47" s="14"/>
      <c r="W47" s="2"/>
    </row>
    <row r="48" spans="1:23" x14ac:dyDescent="0.25">
      <c r="O48" s="114" t="s">
        <v>77</v>
      </c>
      <c r="R48" s="2"/>
      <c r="T48" s="114" t="s">
        <v>46</v>
      </c>
      <c r="U48" s="14"/>
      <c r="V48" s="14"/>
      <c r="W48" s="2"/>
    </row>
    <row r="49" spans="15:23" x14ac:dyDescent="0.25">
      <c r="O49" s="114" t="s">
        <v>78</v>
      </c>
      <c r="P49" s="14">
        <v>0.71</v>
      </c>
      <c r="Q49" s="14">
        <v>2.34</v>
      </c>
      <c r="R49" s="2"/>
      <c r="T49" s="114" t="s">
        <v>48</v>
      </c>
      <c r="U49" s="14"/>
      <c r="V49" s="14"/>
      <c r="W49" s="2"/>
    </row>
    <row r="50" spans="15:23" x14ac:dyDescent="0.25">
      <c r="O50" s="114" t="s">
        <v>80</v>
      </c>
      <c r="P50" s="14">
        <v>-3.0000000000000001E-3</v>
      </c>
      <c r="Q50" s="14">
        <v>-0.81</v>
      </c>
      <c r="R50" s="2"/>
      <c r="T50" s="114" t="s">
        <v>76</v>
      </c>
      <c r="U50" s="14"/>
      <c r="V50" s="14"/>
      <c r="W50" s="2"/>
    </row>
    <row r="51" spans="15:23" x14ac:dyDescent="0.25">
      <c r="O51" s="125" t="s">
        <v>81</v>
      </c>
      <c r="P51" s="126">
        <v>-2.3109999999999999</v>
      </c>
      <c r="Q51" s="127">
        <v>-2.2000000000000002</v>
      </c>
      <c r="R51" s="7"/>
      <c r="T51" s="114" t="s">
        <v>77</v>
      </c>
      <c r="U51" s="14"/>
      <c r="V51" s="14"/>
      <c r="W51" s="2"/>
    </row>
    <row r="52" spans="15:23" x14ac:dyDescent="0.25">
      <c r="T52" s="114" t="s">
        <v>78</v>
      </c>
      <c r="U52" s="14">
        <v>-308.41000000000003</v>
      </c>
      <c r="V52" s="128">
        <v>-1.1599999999999999</v>
      </c>
      <c r="W52" s="2"/>
    </row>
    <row r="53" spans="15:23" x14ac:dyDescent="0.25">
      <c r="T53" s="114" t="s">
        <v>80</v>
      </c>
      <c r="U53" s="14">
        <v>-7.9219999999999997</v>
      </c>
      <c r="V53" s="14">
        <v>-1.1499999999999999</v>
      </c>
      <c r="W53" s="2"/>
    </row>
    <row r="54" spans="15:23" x14ac:dyDescent="0.25">
      <c r="T54" s="125" t="s">
        <v>81</v>
      </c>
      <c r="U54" s="126">
        <v>7679.0959999999995</v>
      </c>
      <c r="V54" s="126">
        <v>1.1599999999999999</v>
      </c>
      <c r="W54" s="7"/>
    </row>
  </sheetData>
  <mergeCells count="40">
    <mergeCell ref="T30:U30"/>
    <mergeCell ref="V30:W30"/>
    <mergeCell ref="T32:W32"/>
    <mergeCell ref="O41:R41"/>
    <mergeCell ref="T44:W44"/>
    <mergeCell ref="A27:D27"/>
    <mergeCell ref="T27:U27"/>
    <mergeCell ref="V27:W27"/>
    <mergeCell ref="T28:U28"/>
    <mergeCell ref="V28:W28"/>
    <mergeCell ref="O29:R29"/>
    <mergeCell ref="T29:U29"/>
    <mergeCell ref="V29:W29"/>
    <mergeCell ref="T22:W22"/>
    <mergeCell ref="T23:U23"/>
    <mergeCell ref="V23:W23"/>
    <mergeCell ref="T24:U24"/>
    <mergeCell ref="V24:W24"/>
    <mergeCell ref="T26:W26"/>
    <mergeCell ref="O20:P20"/>
    <mergeCell ref="T20:U20"/>
    <mergeCell ref="V20:W20"/>
    <mergeCell ref="T2:W2"/>
    <mergeCell ref="O5:P5"/>
    <mergeCell ref="O8:R8"/>
    <mergeCell ref="T14:W14"/>
    <mergeCell ref="T16:U16"/>
    <mergeCell ref="V16:W16"/>
    <mergeCell ref="T18:W18"/>
    <mergeCell ref="T19:U19"/>
    <mergeCell ref="V19:W19"/>
    <mergeCell ref="A15:D15"/>
    <mergeCell ref="T15:U15"/>
    <mergeCell ref="V15:W15"/>
    <mergeCell ref="H1:I1"/>
    <mergeCell ref="J1:K1"/>
    <mergeCell ref="L1:L2"/>
    <mergeCell ref="M1:M2"/>
    <mergeCell ref="A2:D2"/>
    <mergeCell ref="O2:P2"/>
  </mergeCells>
  <conditionalFormatting sqref="M3:M2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F699-BD88-4D29-B654-1E7D0B64B7EC}">
  <dimension ref="B4:J37"/>
  <sheetViews>
    <sheetView topLeftCell="A9" zoomScale="85" zoomScaleNormal="85" workbookViewId="0">
      <selection activeCell="G24" sqref="G24:H24"/>
    </sheetView>
  </sheetViews>
  <sheetFormatPr baseColWidth="10" defaultRowHeight="15" x14ac:dyDescent="0.25"/>
  <cols>
    <col min="1" max="1" width="9.5703125" customWidth="1"/>
    <col min="2" max="2" width="4.28515625" customWidth="1"/>
    <col min="3" max="3" width="34.5703125" customWidth="1"/>
    <col min="4" max="4" width="17.7109375" customWidth="1"/>
    <col min="5" max="5" width="19.7109375" customWidth="1"/>
    <col min="6" max="6" width="16" customWidth="1"/>
  </cols>
  <sheetData>
    <row r="4" spans="2:6" ht="15.75" thickBot="1" x14ac:dyDescent="0.3"/>
    <row r="5" spans="2:6" ht="18.75" customHeight="1" thickBot="1" x14ac:dyDescent="0.3">
      <c r="B5" s="390"/>
      <c r="C5" s="391"/>
      <c r="D5" s="383" t="s">
        <v>98</v>
      </c>
      <c r="E5" s="392"/>
      <c r="F5" s="393" t="s">
        <v>61</v>
      </c>
    </row>
    <row r="6" spans="2:6" ht="18.75" thickBot="1" x14ac:dyDescent="0.3">
      <c r="B6" s="388"/>
      <c r="C6" s="389"/>
      <c r="D6" s="134" t="s">
        <v>99</v>
      </c>
      <c r="E6" s="135" t="s">
        <v>100</v>
      </c>
      <c r="F6" s="394"/>
    </row>
    <row r="7" spans="2:6" ht="18.75" customHeight="1" thickBot="1" x14ac:dyDescent="0.3">
      <c r="B7" s="395" t="s">
        <v>101</v>
      </c>
      <c r="C7" s="136" t="s">
        <v>102</v>
      </c>
      <c r="D7" s="137">
        <v>0</v>
      </c>
      <c r="E7" s="138">
        <v>175</v>
      </c>
      <c r="F7" s="139">
        <v>175</v>
      </c>
    </row>
    <row r="8" spans="2:6" ht="18.75" thickBot="1" x14ac:dyDescent="0.3">
      <c r="B8" s="396"/>
      <c r="C8" s="140" t="s">
        <v>103</v>
      </c>
      <c r="D8" s="141">
        <v>180</v>
      </c>
      <c r="E8" s="142">
        <v>253</v>
      </c>
      <c r="F8" s="143">
        <v>73</v>
      </c>
    </row>
    <row r="9" spans="2:6" ht="18" x14ac:dyDescent="0.25">
      <c r="B9" s="396"/>
      <c r="C9" s="144" t="s">
        <v>104</v>
      </c>
      <c r="D9" s="145"/>
      <c r="E9" s="146"/>
      <c r="F9" s="147"/>
    </row>
    <row r="10" spans="2:6" ht="18.75" thickBot="1" x14ac:dyDescent="0.3">
      <c r="B10" s="396"/>
      <c r="C10" s="144" t="s">
        <v>105</v>
      </c>
      <c r="D10" s="145">
        <v>180</v>
      </c>
      <c r="E10" s="148">
        <v>253</v>
      </c>
      <c r="F10" s="147">
        <v>73</v>
      </c>
    </row>
    <row r="11" spans="2:6" ht="18.75" thickBot="1" x14ac:dyDescent="0.3">
      <c r="B11" s="397"/>
      <c r="C11" s="149" t="s">
        <v>106</v>
      </c>
      <c r="D11" s="142">
        <v>-180</v>
      </c>
      <c r="E11" s="142">
        <v>-78</v>
      </c>
      <c r="F11" s="143">
        <v>102</v>
      </c>
    </row>
    <row r="12" spans="2:6" ht="18.75" thickBot="1" x14ac:dyDescent="0.3">
      <c r="B12" s="398" t="s">
        <v>107</v>
      </c>
      <c r="C12" s="150" t="s">
        <v>108</v>
      </c>
      <c r="D12" s="151"/>
      <c r="E12" s="152"/>
      <c r="F12" s="153"/>
    </row>
    <row r="13" spans="2:6" ht="18.75" thickBot="1" x14ac:dyDescent="0.3">
      <c r="B13" s="396"/>
      <c r="C13" s="140" t="s">
        <v>47</v>
      </c>
      <c r="D13" s="141">
        <v>0.02</v>
      </c>
      <c r="E13" s="142">
        <v>0.02</v>
      </c>
      <c r="F13" s="143">
        <v>0</v>
      </c>
    </row>
    <row r="14" spans="2:6" ht="18.75" thickBot="1" x14ac:dyDescent="0.3">
      <c r="B14" s="396"/>
      <c r="C14" s="144" t="s">
        <v>50</v>
      </c>
      <c r="D14" s="145">
        <v>63637.3</v>
      </c>
      <c r="E14" s="148">
        <v>65300.3</v>
      </c>
      <c r="F14" s="147">
        <v>1663</v>
      </c>
    </row>
    <row r="15" spans="2:6" ht="18.75" thickBot="1" x14ac:dyDescent="0.3">
      <c r="B15" s="396"/>
      <c r="C15" s="149" t="s">
        <v>52</v>
      </c>
      <c r="D15" s="154">
        <v>2208.96</v>
      </c>
      <c r="E15" s="155">
        <v>1840.8</v>
      </c>
      <c r="F15" s="156">
        <v>-368.16</v>
      </c>
    </row>
    <row r="16" spans="2:6" ht="18.75" thickBot="1" x14ac:dyDescent="0.3">
      <c r="B16" s="397"/>
      <c r="C16" s="157" t="s">
        <v>109</v>
      </c>
      <c r="D16" s="158">
        <v>14267.09</v>
      </c>
      <c r="E16" s="159">
        <v>32378.25</v>
      </c>
      <c r="F16" s="160">
        <v>18111.16</v>
      </c>
    </row>
    <row r="17" spans="2:10" ht="18.75" customHeight="1" thickBot="1" x14ac:dyDescent="0.3">
      <c r="B17" s="402" t="s">
        <v>110</v>
      </c>
      <c r="C17" s="403"/>
      <c r="D17" s="158">
        <v>79933.37</v>
      </c>
      <c r="E17" s="159">
        <v>99441.37</v>
      </c>
      <c r="F17" s="161">
        <v>19508</v>
      </c>
    </row>
    <row r="20" spans="2:10" ht="15.75" thickBot="1" x14ac:dyDescent="0.3"/>
    <row r="21" spans="2:10" ht="36.75" customHeight="1" thickBot="1" x14ac:dyDescent="0.3">
      <c r="B21" s="390"/>
      <c r="C21" s="391"/>
      <c r="D21" s="383" t="s">
        <v>98</v>
      </c>
      <c r="E21" s="384"/>
      <c r="F21" s="385" t="s">
        <v>61</v>
      </c>
      <c r="G21" s="385" t="s">
        <v>111</v>
      </c>
      <c r="H21" s="387"/>
    </row>
    <row r="22" spans="2:10" ht="36.75" thickBot="1" x14ac:dyDescent="0.3">
      <c r="B22" s="388"/>
      <c r="C22" s="389"/>
      <c r="D22" s="162" t="s">
        <v>99</v>
      </c>
      <c r="E22" s="163" t="s">
        <v>100</v>
      </c>
      <c r="F22" s="386"/>
      <c r="G22" s="164" t="s">
        <v>112</v>
      </c>
      <c r="H22" s="165" t="s">
        <v>113</v>
      </c>
    </row>
    <row r="23" spans="2:10" ht="18.75" thickBot="1" x14ac:dyDescent="0.3">
      <c r="B23" s="395" t="s">
        <v>101</v>
      </c>
      <c r="C23" s="136" t="s">
        <v>102</v>
      </c>
      <c r="D23" s="141">
        <v>0</v>
      </c>
      <c r="E23" s="142">
        <v>175</v>
      </c>
      <c r="F23" s="166">
        <v>175</v>
      </c>
      <c r="G23" s="166">
        <v>175</v>
      </c>
      <c r="H23" s="167">
        <v>175</v>
      </c>
    </row>
    <row r="24" spans="2:10" ht="18.75" thickBot="1" x14ac:dyDescent="0.3">
      <c r="B24" s="396"/>
      <c r="C24" s="140" t="s">
        <v>103</v>
      </c>
      <c r="D24" s="141">
        <v>180</v>
      </c>
      <c r="E24" s="142">
        <v>253</v>
      </c>
      <c r="F24" s="166">
        <v>73</v>
      </c>
      <c r="G24" s="166">
        <v>73</v>
      </c>
      <c r="H24" s="167">
        <v>73</v>
      </c>
    </row>
    <row r="25" spans="2:10" ht="18" x14ac:dyDescent="0.25">
      <c r="B25" s="396"/>
      <c r="C25" s="144" t="s">
        <v>104</v>
      </c>
      <c r="D25" s="168"/>
      <c r="E25" s="169"/>
      <c r="F25" s="170"/>
      <c r="G25" s="171"/>
      <c r="H25" s="172"/>
    </row>
    <row r="26" spans="2:10" ht="18.75" thickBot="1" x14ac:dyDescent="0.3">
      <c r="B26" s="396"/>
      <c r="C26" s="144" t="s">
        <v>105</v>
      </c>
      <c r="D26" s="173">
        <v>180</v>
      </c>
      <c r="E26" s="174">
        <v>253</v>
      </c>
      <c r="F26" s="175">
        <v>73</v>
      </c>
      <c r="G26" s="176"/>
      <c r="H26" s="177"/>
    </row>
    <row r="27" spans="2:10" ht="18.75" thickBot="1" x14ac:dyDescent="0.3">
      <c r="B27" s="396"/>
      <c r="C27" s="149" t="s">
        <v>106</v>
      </c>
      <c r="D27" s="141">
        <v>-180</v>
      </c>
      <c r="E27" s="142">
        <v>-78</v>
      </c>
      <c r="F27" s="166">
        <v>102</v>
      </c>
      <c r="G27" s="166">
        <v>102</v>
      </c>
      <c r="H27" s="167">
        <v>102</v>
      </c>
    </row>
    <row r="28" spans="2:10" ht="18.75" customHeight="1" thickBot="1" x14ac:dyDescent="0.3">
      <c r="B28" s="395" t="s">
        <v>107</v>
      </c>
      <c r="C28" s="150" t="s">
        <v>108</v>
      </c>
      <c r="D28" s="151"/>
      <c r="E28" s="152"/>
      <c r="F28" s="178"/>
      <c r="G28" s="179"/>
      <c r="H28" s="180"/>
      <c r="I28" t="s">
        <v>114</v>
      </c>
      <c r="J28" t="s">
        <v>115</v>
      </c>
    </row>
    <row r="29" spans="2:10" ht="18.75" thickBot="1" x14ac:dyDescent="0.3">
      <c r="B29" s="396"/>
      <c r="C29" s="140" t="s">
        <v>47</v>
      </c>
      <c r="D29" s="141">
        <v>0.02</v>
      </c>
      <c r="E29" s="142">
        <v>0.02</v>
      </c>
      <c r="F29" s="166">
        <v>0</v>
      </c>
      <c r="G29" s="181">
        <v>0</v>
      </c>
      <c r="H29" s="182">
        <v>0.51259180714884101</v>
      </c>
      <c r="I29" s="49">
        <f>(G29+H29)/2</f>
        <v>0.2562959035744205</v>
      </c>
      <c r="J29" s="49">
        <f>(H29-G29)/2</f>
        <v>0.2562959035744205</v>
      </c>
    </row>
    <row r="30" spans="2:10" ht="18.75" thickBot="1" x14ac:dyDescent="0.3">
      <c r="B30" s="396"/>
      <c r="C30" s="144" t="s">
        <v>50</v>
      </c>
      <c r="D30" s="154">
        <v>63637.3</v>
      </c>
      <c r="E30" s="155">
        <v>65300.3</v>
      </c>
      <c r="F30" s="183">
        <v>1663</v>
      </c>
      <c r="G30" s="181">
        <v>574.55077438690398</v>
      </c>
      <c r="H30" s="182">
        <v>3964.9571356131</v>
      </c>
      <c r="I30" s="49">
        <f>(G30+H30)/2</f>
        <v>2269.753955000002</v>
      </c>
      <c r="J30" s="49">
        <f>(H30-G30)/2</f>
        <v>1695.2031806130981</v>
      </c>
    </row>
    <row r="31" spans="2:10" ht="18.75" thickBot="1" x14ac:dyDescent="0.3">
      <c r="B31" s="396"/>
      <c r="C31" s="149" t="s">
        <v>52</v>
      </c>
      <c r="D31" s="154">
        <v>2208.96</v>
      </c>
      <c r="E31" s="155">
        <v>1840.8</v>
      </c>
      <c r="F31" s="166">
        <v>-368.16</v>
      </c>
      <c r="G31" s="184">
        <v>-368.16000000000008</v>
      </c>
      <c r="H31" s="185">
        <v>-368.16000000000008</v>
      </c>
      <c r="I31" s="49">
        <f t="shared" ref="I31:I32" si="0">(G31+H31)/2</f>
        <v>-368.16000000000008</v>
      </c>
      <c r="J31" s="49">
        <f t="shared" ref="J31:J32" si="1">(H31-G31)/2</f>
        <v>0</v>
      </c>
    </row>
    <row r="32" spans="2:10" ht="18.75" thickBot="1" x14ac:dyDescent="0.3">
      <c r="B32" s="396"/>
      <c r="C32" s="157" t="s">
        <v>109</v>
      </c>
      <c r="D32" s="141">
        <v>14267.09</v>
      </c>
      <c r="E32" s="142">
        <v>32378.25</v>
      </c>
      <c r="F32" s="166">
        <v>18111.16</v>
      </c>
      <c r="G32" s="181">
        <v>10633.849203508576</v>
      </c>
      <c r="H32" s="182">
        <v>26468.070796491422</v>
      </c>
      <c r="I32" s="49">
        <f t="shared" si="0"/>
        <v>18550.96</v>
      </c>
      <c r="J32" s="49">
        <f t="shared" si="1"/>
        <v>7917.1107964914227</v>
      </c>
    </row>
    <row r="33" spans="2:10" ht="18.75" thickBot="1" x14ac:dyDescent="0.3">
      <c r="B33" s="399"/>
      <c r="C33" s="157" t="s">
        <v>116</v>
      </c>
      <c r="D33" s="141">
        <f>SUM(D29:D32)</f>
        <v>80113.37</v>
      </c>
      <c r="E33" s="142">
        <f t="shared" ref="E33" si="2">SUM(E29:E32)</f>
        <v>99519.37</v>
      </c>
      <c r="F33" s="166">
        <f>SUM(F29:F32)</f>
        <v>19406</v>
      </c>
      <c r="G33" s="181">
        <f>I33</f>
        <v>12356.245716907109</v>
      </c>
      <c r="H33" s="182">
        <f>J33</f>
        <v>28549.374784900039</v>
      </c>
      <c r="I33" s="186">
        <f>SUM(I29:I32)-SQRT(SUMSQ(J29:J32))</f>
        <v>12356.245716907109</v>
      </c>
      <c r="J33" s="186">
        <f>SUM(I29:I32)+SQRT(SUMSQ(J29:J32))</f>
        <v>28549.374784900039</v>
      </c>
    </row>
    <row r="34" spans="2:10" ht="18.75" thickBot="1" x14ac:dyDescent="0.3">
      <c r="B34" s="400" t="s">
        <v>117</v>
      </c>
      <c r="C34" s="401"/>
      <c r="D34" s="141">
        <v>0</v>
      </c>
      <c r="E34" s="187">
        <v>395.0414342629482</v>
      </c>
      <c r="F34" s="166">
        <f>E34-D34</f>
        <v>395.0414342629482</v>
      </c>
      <c r="G34" s="166">
        <f>F34</f>
        <v>395.0414342629482</v>
      </c>
      <c r="H34" s="167">
        <f>F34</f>
        <v>395.0414342629482</v>
      </c>
    </row>
    <row r="35" spans="2:10" ht="18.75" thickBot="1" x14ac:dyDescent="0.3">
      <c r="B35" s="402" t="s">
        <v>110</v>
      </c>
      <c r="C35" s="403"/>
      <c r="D35" s="141">
        <f>D27+D33-D34</f>
        <v>79933.37</v>
      </c>
      <c r="E35" s="142">
        <f>E27+E33-E34</f>
        <v>99046.328565737043</v>
      </c>
      <c r="F35" s="188">
        <f>F27+F33-F34</f>
        <v>19112.958565737052</v>
      </c>
    </row>
    <row r="36" spans="2:10" ht="18.75" thickBot="1" x14ac:dyDescent="0.3">
      <c r="C36" s="144"/>
      <c r="G36" s="188">
        <f>G27+G33-G34</f>
        <v>12063.204282644161</v>
      </c>
      <c r="H36" s="189">
        <f>H27+H33-H34</f>
        <v>28256.333350637091</v>
      </c>
    </row>
    <row r="37" spans="2:10" x14ac:dyDescent="0.25">
      <c r="F37" s="190"/>
      <c r="G37" s="190"/>
      <c r="H37" s="190"/>
    </row>
  </sheetData>
  <mergeCells count="16">
    <mergeCell ref="B23:B27"/>
    <mergeCell ref="B28:B33"/>
    <mergeCell ref="B34:C34"/>
    <mergeCell ref="B35:C35"/>
    <mergeCell ref="B17:C17"/>
    <mergeCell ref="B21:C21"/>
    <mergeCell ref="D21:E21"/>
    <mergeCell ref="F21:F22"/>
    <mergeCell ref="G21:H21"/>
    <mergeCell ref="B22:C22"/>
    <mergeCell ref="B5:C5"/>
    <mergeCell ref="D5:E5"/>
    <mergeCell ref="F5:F6"/>
    <mergeCell ref="B6:C6"/>
    <mergeCell ref="B7:B11"/>
    <mergeCell ref="B12:B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AE02-9A97-45B4-B228-A751742F81E4}">
  <dimension ref="A1:AN43"/>
  <sheetViews>
    <sheetView topLeftCell="O1" zoomScale="85" zoomScaleNormal="85" workbookViewId="0">
      <selection activeCell="AE4" sqref="AE4:AK5"/>
    </sheetView>
  </sheetViews>
  <sheetFormatPr baseColWidth="10" defaultRowHeight="15" x14ac:dyDescent="0.25"/>
  <cols>
    <col min="1" max="1" width="8.5703125" customWidth="1"/>
    <col min="2" max="2" width="87.85546875" customWidth="1"/>
    <col min="3" max="3" width="11.5703125" customWidth="1"/>
    <col min="4" max="4" width="10.85546875" style="55" customWidth="1"/>
    <col min="5" max="6" width="11.5703125" customWidth="1"/>
    <col min="7" max="7" width="11" customWidth="1"/>
    <col min="8" max="8" width="1" customWidth="1"/>
    <col min="9" max="9" width="10.85546875" customWidth="1"/>
    <col min="10" max="10" width="10.42578125" customWidth="1"/>
    <col min="11" max="11" width="13.85546875" customWidth="1"/>
    <col min="12" max="12" width="19.5703125" customWidth="1"/>
    <col min="13" max="17" width="16.5703125" customWidth="1"/>
    <col min="18" max="18" width="13.85546875" customWidth="1"/>
    <col min="19" max="19" width="13.7109375" customWidth="1"/>
    <col min="20" max="20" width="9.85546875" customWidth="1"/>
    <col min="21" max="21" width="9" customWidth="1"/>
    <col min="22" max="22" width="1.140625" customWidth="1"/>
    <col min="23" max="23" width="14.28515625" customWidth="1"/>
    <col min="24" max="24" width="1.42578125" customWidth="1"/>
    <col min="25" max="25" width="15.140625" customWidth="1"/>
    <col min="26" max="26" width="11.140625" customWidth="1"/>
    <col min="27" max="27" width="14.28515625" customWidth="1"/>
    <col min="39" max="39" width="13.7109375" bestFit="1" customWidth="1"/>
  </cols>
  <sheetData>
    <row r="1" spans="1:39" ht="21.75" customHeight="1" thickBot="1" x14ac:dyDescent="0.3">
      <c r="A1" s="405" t="s">
        <v>119</v>
      </c>
      <c r="B1" s="407" t="s">
        <v>120</v>
      </c>
      <c r="C1" s="191"/>
      <c r="D1" s="192" t="s">
        <v>121</v>
      </c>
      <c r="E1" s="409" t="s">
        <v>47</v>
      </c>
      <c r="F1" s="410"/>
      <c r="G1" s="411"/>
      <c r="H1" s="193"/>
      <c r="I1" s="412" t="s">
        <v>50</v>
      </c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4"/>
      <c r="V1" s="194"/>
      <c r="W1" s="195" t="s">
        <v>52</v>
      </c>
      <c r="X1" s="196"/>
      <c r="Y1" s="412" t="s">
        <v>109</v>
      </c>
      <c r="Z1" s="413"/>
      <c r="AA1" s="413"/>
      <c r="AB1" s="413"/>
      <c r="AC1" s="414"/>
      <c r="AE1" s="407" t="s">
        <v>122</v>
      </c>
      <c r="AF1" s="415"/>
      <c r="AG1" s="415"/>
      <c r="AH1" s="415"/>
      <c r="AI1" s="415"/>
      <c r="AJ1" s="415"/>
      <c r="AK1" s="415"/>
      <c r="AM1" s="197"/>
    </row>
    <row r="2" spans="1:39" ht="57.75" customHeight="1" thickBot="1" x14ac:dyDescent="0.3">
      <c r="A2" s="406"/>
      <c r="B2" s="408"/>
      <c r="C2" s="198" t="s">
        <v>123</v>
      </c>
      <c r="D2" s="199" t="s">
        <v>124</v>
      </c>
      <c r="E2" s="200" t="s">
        <v>125</v>
      </c>
      <c r="F2" s="201" t="s">
        <v>126</v>
      </c>
      <c r="G2" s="200" t="s">
        <v>127</v>
      </c>
      <c r="H2" s="202"/>
      <c r="I2" s="416" t="s">
        <v>128</v>
      </c>
      <c r="J2" s="417"/>
      <c r="K2" s="418"/>
      <c r="L2" s="203" t="s">
        <v>129</v>
      </c>
      <c r="M2" s="204" t="s">
        <v>130</v>
      </c>
      <c r="N2" s="204"/>
      <c r="O2" s="204"/>
      <c r="P2" s="204"/>
      <c r="Q2" s="204"/>
      <c r="R2" s="204"/>
      <c r="S2" s="204" t="s">
        <v>131</v>
      </c>
      <c r="T2" s="419" t="s">
        <v>132</v>
      </c>
      <c r="U2" s="420"/>
      <c r="V2" s="205"/>
      <c r="W2" s="204" t="s">
        <v>133</v>
      </c>
      <c r="X2" s="206"/>
      <c r="Y2" s="204" t="s">
        <v>134</v>
      </c>
      <c r="Z2" s="419" t="s">
        <v>135</v>
      </c>
      <c r="AA2" s="420"/>
      <c r="AB2" s="204" t="s">
        <v>136</v>
      </c>
      <c r="AC2" s="204" t="s">
        <v>137</v>
      </c>
      <c r="AE2" s="207" t="s">
        <v>138</v>
      </c>
      <c r="AF2" s="208" t="s">
        <v>139</v>
      </c>
      <c r="AG2" s="208" t="s">
        <v>140</v>
      </c>
      <c r="AH2" s="208" t="s">
        <v>141</v>
      </c>
      <c r="AI2" s="208" t="s">
        <v>142</v>
      </c>
      <c r="AJ2" s="208" t="s">
        <v>143</v>
      </c>
      <c r="AK2" s="209" t="s">
        <v>144</v>
      </c>
      <c r="AL2" s="210" t="s">
        <v>145</v>
      </c>
      <c r="AM2" s="210" t="s">
        <v>146</v>
      </c>
    </row>
    <row r="3" spans="1:39" ht="47.25" customHeight="1" x14ac:dyDescent="0.25">
      <c r="A3" s="406"/>
      <c r="B3" s="408"/>
      <c r="C3" s="198"/>
      <c r="D3" s="211" t="s">
        <v>71</v>
      </c>
      <c r="E3" s="212" t="s">
        <v>147</v>
      </c>
      <c r="F3" s="213" t="s">
        <v>148</v>
      </c>
      <c r="G3" s="214" t="s">
        <v>149</v>
      </c>
      <c r="H3" s="215"/>
      <c r="I3" s="216" t="s">
        <v>150</v>
      </c>
      <c r="J3" s="217" t="s">
        <v>151</v>
      </c>
      <c r="K3" s="218" t="s">
        <v>152</v>
      </c>
      <c r="L3" s="219" t="s">
        <v>153</v>
      </c>
      <c r="M3" s="214" t="s">
        <v>154</v>
      </c>
      <c r="N3" s="214" t="s">
        <v>155</v>
      </c>
      <c r="O3" s="214" t="s">
        <v>156</v>
      </c>
      <c r="P3" s="214" t="s">
        <v>157</v>
      </c>
      <c r="Q3" s="214" t="s">
        <v>158</v>
      </c>
      <c r="R3" s="214" t="s">
        <v>159</v>
      </c>
      <c r="S3" s="214" t="s">
        <v>160</v>
      </c>
      <c r="T3" s="220" t="s">
        <v>161</v>
      </c>
      <c r="U3" s="219" t="s">
        <v>162</v>
      </c>
      <c r="V3" s="221"/>
      <c r="W3" s="214" t="s">
        <v>163</v>
      </c>
      <c r="X3" s="206"/>
      <c r="Y3" s="214" t="s">
        <v>164</v>
      </c>
      <c r="Z3" s="220" t="s">
        <v>165</v>
      </c>
      <c r="AA3" s="219" t="s">
        <v>166</v>
      </c>
      <c r="AB3" s="214" t="s">
        <v>167</v>
      </c>
      <c r="AC3" s="214" t="s">
        <v>168</v>
      </c>
      <c r="AE3" s="222"/>
      <c r="AF3" s="222"/>
      <c r="AG3" s="222"/>
      <c r="AH3" s="222"/>
      <c r="AI3" s="222"/>
      <c r="AJ3" s="222"/>
      <c r="AK3" s="222"/>
      <c r="AL3" s="55"/>
      <c r="AM3" s="49"/>
    </row>
    <row r="4" spans="1:39" x14ac:dyDescent="0.25">
      <c r="A4" s="223" t="s">
        <v>169</v>
      </c>
      <c r="B4" s="224" t="s">
        <v>170</v>
      </c>
      <c r="C4" s="225">
        <v>5.94</v>
      </c>
      <c r="D4" s="226" t="s">
        <v>171</v>
      </c>
      <c r="E4" s="227" t="s">
        <v>171</v>
      </c>
      <c r="F4" s="228">
        <v>54</v>
      </c>
      <c r="G4" s="229"/>
      <c r="H4" s="230"/>
      <c r="I4">
        <v>100</v>
      </c>
      <c r="J4" s="231">
        <v>32</v>
      </c>
      <c r="K4" s="232"/>
      <c r="L4" s="229">
        <v>0</v>
      </c>
      <c r="M4" s="233">
        <v>132</v>
      </c>
      <c r="N4" s="229">
        <v>100.935</v>
      </c>
      <c r="O4" s="234">
        <v>830.47499999999991</v>
      </c>
      <c r="P4" s="234">
        <v>161.32499999999999</v>
      </c>
      <c r="Q4" s="234">
        <v>7.9162499999999998</v>
      </c>
      <c r="R4" s="235">
        <v>1.5</v>
      </c>
      <c r="S4" s="229">
        <v>507</v>
      </c>
      <c r="T4" s="227"/>
      <c r="U4" s="229">
        <v>30</v>
      </c>
      <c r="V4" s="236"/>
      <c r="W4" s="237">
        <v>30</v>
      </c>
      <c r="X4" s="238"/>
      <c r="Y4" s="233">
        <v>1</v>
      </c>
      <c r="Z4" s="239">
        <v>4</v>
      </c>
      <c r="AA4" s="240">
        <v>30</v>
      </c>
      <c r="AB4">
        <v>10</v>
      </c>
      <c r="AC4" s="239">
        <v>2</v>
      </c>
      <c r="AE4" s="222">
        <v>1</v>
      </c>
      <c r="AF4" s="222">
        <v>1</v>
      </c>
      <c r="AG4" s="222">
        <v>1</v>
      </c>
      <c r="AH4" s="222">
        <v>1</v>
      </c>
      <c r="AI4" s="222">
        <v>1</v>
      </c>
      <c r="AJ4" s="222">
        <v>1</v>
      </c>
      <c r="AK4" s="222">
        <v>1</v>
      </c>
      <c r="AL4" s="55">
        <f>AE4+AF4+AG4+AH4-AI4-AJ4+AK4</f>
        <v>3</v>
      </c>
      <c r="AM4" s="49">
        <f>10*(AL4-(-2))/(7)</f>
        <v>7.1428571428571432</v>
      </c>
    </row>
    <row r="5" spans="1:39" x14ac:dyDescent="0.25">
      <c r="A5" s="241" t="s">
        <v>172</v>
      </c>
      <c r="B5" s="242" t="s">
        <v>173</v>
      </c>
      <c r="C5" s="243">
        <v>18.100000000000001</v>
      </c>
      <c r="D5" s="244" t="s">
        <v>174</v>
      </c>
      <c r="E5" s="245" t="s">
        <v>171</v>
      </c>
      <c r="F5" s="246">
        <v>42</v>
      </c>
      <c r="G5" s="247"/>
      <c r="H5" s="248"/>
      <c r="I5" s="249">
        <v>91</v>
      </c>
      <c r="J5" s="250">
        <v>48</v>
      </c>
      <c r="K5" s="232"/>
      <c r="L5" s="247">
        <v>0</v>
      </c>
      <c r="M5" s="246">
        <v>190</v>
      </c>
      <c r="N5" s="247">
        <v>103.41</v>
      </c>
      <c r="O5" s="251">
        <v>663.34500000000003</v>
      </c>
      <c r="P5" s="251">
        <v>89.50500000000001</v>
      </c>
      <c r="Q5" s="251">
        <v>6.138749999999999</v>
      </c>
      <c r="R5" s="252">
        <v>1.2</v>
      </c>
      <c r="S5" s="247">
        <v>419</v>
      </c>
      <c r="T5" s="245"/>
      <c r="U5" s="247">
        <v>36</v>
      </c>
      <c r="V5" s="253"/>
      <c r="W5" s="254">
        <v>36</v>
      </c>
      <c r="X5" s="255"/>
      <c r="Y5" s="246">
        <v>1</v>
      </c>
      <c r="Z5" s="245">
        <v>3</v>
      </c>
      <c r="AA5" s="256">
        <v>30</v>
      </c>
      <c r="AB5">
        <v>2</v>
      </c>
      <c r="AC5" s="257">
        <v>1</v>
      </c>
      <c r="AE5" s="222">
        <v>0</v>
      </c>
      <c r="AF5" s="222">
        <v>1</v>
      </c>
      <c r="AG5" s="222">
        <v>0</v>
      </c>
      <c r="AH5" s="222">
        <v>0</v>
      </c>
      <c r="AI5" s="222">
        <v>1</v>
      </c>
      <c r="AJ5" s="222">
        <v>1</v>
      </c>
      <c r="AK5" s="222">
        <v>0</v>
      </c>
      <c r="AL5" s="55">
        <f t="shared" ref="AL5:AL18" si="0">AE5+AF5+AG5+AH5-AI5-AJ5+AK5</f>
        <v>-1</v>
      </c>
      <c r="AM5" s="49">
        <f t="shared" ref="AM5:AM18" si="1">10*(AL5-(-2))/(7)</f>
        <v>1.4285714285714286</v>
      </c>
    </row>
    <row r="6" spans="1:39" x14ac:dyDescent="0.25">
      <c r="A6" s="223" t="s">
        <v>175</v>
      </c>
      <c r="B6" s="224" t="s">
        <v>176</v>
      </c>
      <c r="C6" s="225"/>
      <c r="D6" s="226" t="s">
        <v>171</v>
      </c>
      <c r="E6" s="227" t="s">
        <v>171</v>
      </c>
      <c r="F6" s="233">
        <v>238000</v>
      </c>
      <c r="G6" s="229"/>
      <c r="H6" s="258"/>
      <c r="I6" s="259">
        <v>54</v>
      </c>
      <c r="J6" s="260">
        <v>55</v>
      </c>
      <c r="K6" s="232"/>
      <c r="L6" s="233">
        <v>0</v>
      </c>
      <c r="M6" s="233">
        <v>34.499999999999993</v>
      </c>
      <c r="N6" s="233">
        <v>102.375</v>
      </c>
      <c r="O6" s="233">
        <v>0</v>
      </c>
      <c r="P6" s="261">
        <v>98.639999999999986</v>
      </c>
      <c r="Q6" s="261">
        <v>37066.803749999999</v>
      </c>
      <c r="R6" s="262">
        <v>0.49</v>
      </c>
      <c r="S6" s="233">
        <v>313</v>
      </c>
      <c r="T6" s="227"/>
      <c r="U6" s="229">
        <v>62</v>
      </c>
      <c r="V6" s="236"/>
      <c r="W6" s="233">
        <v>62</v>
      </c>
      <c r="X6" s="238"/>
      <c r="Y6" s="233">
        <v>1</v>
      </c>
      <c r="Z6" s="227">
        <v>4</v>
      </c>
      <c r="AA6" s="240">
        <f>4717</f>
        <v>4717</v>
      </c>
      <c r="AB6" s="233">
        <v>8</v>
      </c>
      <c r="AC6" s="239">
        <v>0.15110000000000001</v>
      </c>
      <c r="AE6" s="222">
        <v>0</v>
      </c>
      <c r="AF6" s="222">
        <v>1</v>
      </c>
      <c r="AG6" s="222">
        <v>1</v>
      </c>
      <c r="AH6" s="222">
        <v>0</v>
      </c>
      <c r="AI6" s="222">
        <v>1</v>
      </c>
      <c r="AJ6" s="222">
        <v>0</v>
      </c>
      <c r="AK6" s="222">
        <v>1</v>
      </c>
      <c r="AL6" s="55">
        <f t="shared" si="0"/>
        <v>2</v>
      </c>
      <c r="AM6" s="49">
        <f t="shared" si="1"/>
        <v>5.7142857142857144</v>
      </c>
    </row>
    <row r="7" spans="1:39" x14ac:dyDescent="0.25">
      <c r="A7" s="241" t="s">
        <v>177</v>
      </c>
      <c r="B7" s="263" t="s">
        <v>178</v>
      </c>
      <c r="C7" s="243"/>
      <c r="D7" s="244" t="s">
        <v>174</v>
      </c>
      <c r="E7" s="245" t="s">
        <v>171</v>
      </c>
      <c r="F7" s="246">
        <v>0</v>
      </c>
      <c r="G7" s="247"/>
      <c r="H7" s="248"/>
      <c r="I7" s="249">
        <v>15</v>
      </c>
      <c r="J7" s="250">
        <v>16</v>
      </c>
      <c r="K7" s="232"/>
      <c r="L7" s="246">
        <v>0</v>
      </c>
      <c r="M7" s="246">
        <v>0</v>
      </c>
      <c r="N7" s="246">
        <v>12.105</v>
      </c>
      <c r="O7" s="246">
        <v>0</v>
      </c>
      <c r="P7" s="264">
        <v>62.64</v>
      </c>
      <c r="Q7" s="264">
        <v>43061.04</v>
      </c>
      <c r="R7" s="265">
        <v>0.01</v>
      </c>
      <c r="S7" s="246">
        <v>300</v>
      </c>
      <c r="T7" s="245"/>
      <c r="U7" s="247">
        <v>0</v>
      </c>
      <c r="V7" s="253"/>
      <c r="W7" s="246">
        <v>0</v>
      </c>
      <c r="X7" s="255"/>
      <c r="Y7" s="246">
        <v>1</v>
      </c>
      <c r="Z7" s="245">
        <v>3</v>
      </c>
      <c r="AA7" s="256">
        <f>2043</f>
        <v>2043</v>
      </c>
      <c r="AB7" s="246">
        <v>10</v>
      </c>
      <c r="AC7" s="257">
        <v>0</v>
      </c>
      <c r="AE7" s="222">
        <v>1</v>
      </c>
      <c r="AF7" s="222">
        <v>0</v>
      </c>
      <c r="AG7" s="222">
        <v>1</v>
      </c>
      <c r="AH7" s="222">
        <v>0</v>
      </c>
      <c r="AI7" s="222">
        <v>0</v>
      </c>
      <c r="AJ7" s="222">
        <v>0</v>
      </c>
      <c r="AK7" s="222">
        <v>1</v>
      </c>
      <c r="AL7" s="55">
        <f t="shared" si="0"/>
        <v>3</v>
      </c>
      <c r="AM7" s="49">
        <f t="shared" si="1"/>
        <v>7.1428571428571432</v>
      </c>
    </row>
    <row r="8" spans="1:39" x14ac:dyDescent="0.25">
      <c r="A8" s="223" t="s">
        <v>179</v>
      </c>
      <c r="B8" s="224" t="s">
        <v>180</v>
      </c>
      <c r="C8" s="225">
        <v>1</v>
      </c>
      <c r="D8" s="226" t="s">
        <v>171</v>
      </c>
      <c r="E8" s="227" t="s">
        <v>171</v>
      </c>
      <c r="F8" s="233">
        <v>550000</v>
      </c>
      <c r="G8" s="229"/>
      <c r="H8" s="258"/>
      <c r="I8" s="259">
        <v>609</v>
      </c>
      <c r="J8" s="260">
        <v>209</v>
      </c>
      <c r="K8" s="232"/>
      <c r="L8" s="233">
        <v>10</v>
      </c>
      <c r="M8" s="261">
        <v>3231.5625</v>
      </c>
      <c r="N8" s="261">
        <v>1034.5049999999999</v>
      </c>
      <c r="O8" s="261">
        <v>20565.36</v>
      </c>
      <c r="P8" s="261">
        <v>1082.07</v>
      </c>
      <c r="Q8" s="261">
        <v>973.32749999999999</v>
      </c>
      <c r="R8" s="262">
        <v>13</v>
      </c>
      <c r="S8" s="261">
        <v>828.50312500000007</v>
      </c>
      <c r="T8" s="227"/>
      <c r="U8" s="229">
        <v>81</v>
      </c>
      <c r="V8" s="236"/>
      <c r="W8" s="233">
        <v>80</v>
      </c>
      <c r="X8" s="238"/>
      <c r="Y8" s="233">
        <v>0</v>
      </c>
      <c r="Z8" s="227">
        <v>5</v>
      </c>
      <c r="AA8" s="240">
        <v>80</v>
      </c>
      <c r="AB8" s="233">
        <v>6</v>
      </c>
      <c r="AC8" s="239">
        <f>18/1</f>
        <v>18</v>
      </c>
      <c r="AE8" s="222">
        <v>1</v>
      </c>
      <c r="AF8" s="222">
        <v>1</v>
      </c>
      <c r="AG8" s="222">
        <v>1</v>
      </c>
      <c r="AH8" s="222">
        <v>0</v>
      </c>
      <c r="AI8" s="222">
        <v>1</v>
      </c>
      <c r="AJ8" s="222">
        <v>1</v>
      </c>
      <c r="AK8" s="222">
        <v>0</v>
      </c>
      <c r="AL8" s="55">
        <f t="shared" si="0"/>
        <v>1</v>
      </c>
      <c r="AM8" s="49">
        <f t="shared" si="1"/>
        <v>4.2857142857142856</v>
      </c>
    </row>
    <row r="9" spans="1:39" x14ac:dyDescent="0.25">
      <c r="A9" s="241" t="s">
        <v>181</v>
      </c>
      <c r="B9" s="263" t="s">
        <v>182</v>
      </c>
      <c r="C9" s="243">
        <v>1</v>
      </c>
      <c r="D9" s="244" t="s">
        <v>174</v>
      </c>
      <c r="E9" s="245" t="s">
        <v>171</v>
      </c>
      <c r="F9" s="246">
        <v>0</v>
      </c>
      <c r="G9" s="247"/>
      <c r="H9" s="248"/>
      <c r="I9" s="249">
        <v>17</v>
      </c>
      <c r="J9" s="250">
        <v>25</v>
      </c>
      <c r="K9" s="232"/>
      <c r="L9" s="246">
        <v>0</v>
      </c>
      <c r="M9" s="264">
        <v>27.487499999999997</v>
      </c>
      <c r="N9" s="264">
        <v>181.53</v>
      </c>
      <c r="O9" s="264">
        <v>649.25999999999988</v>
      </c>
      <c r="P9" s="264">
        <v>168.57</v>
      </c>
      <c r="Q9" s="264">
        <v>2938.67625</v>
      </c>
      <c r="R9" s="265">
        <v>0.05</v>
      </c>
      <c r="S9" s="264">
        <v>416.97093750000005</v>
      </c>
      <c r="T9" s="245"/>
      <c r="U9" s="247">
        <v>13</v>
      </c>
      <c r="V9" s="253"/>
      <c r="W9" s="246">
        <v>35</v>
      </c>
      <c r="X9" s="255"/>
      <c r="Y9" s="246">
        <v>0</v>
      </c>
      <c r="Z9" s="245">
        <v>2</v>
      </c>
      <c r="AA9" s="256">
        <v>80</v>
      </c>
      <c r="AB9" s="246">
        <v>4</v>
      </c>
      <c r="AC9" s="257">
        <v>0</v>
      </c>
      <c r="AE9" s="222">
        <v>0</v>
      </c>
      <c r="AF9" s="222">
        <v>0</v>
      </c>
      <c r="AG9" s="222">
        <v>1</v>
      </c>
      <c r="AH9" s="222">
        <v>0</v>
      </c>
      <c r="AI9" s="222">
        <v>0</v>
      </c>
      <c r="AJ9" s="222">
        <v>1</v>
      </c>
      <c r="AK9" s="222">
        <v>0</v>
      </c>
      <c r="AL9" s="55">
        <f t="shared" si="0"/>
        <v>0</v>
      </c>
      <c r="AM9" s="49">
        <f t="shared" si="1"/>
        <v>2.8571428571428572</v>
      </c>
    </row>
    <row r="10" spans="1:39" x14ac:dyDescent="0.25">
      <c r="A10" s="223" t="s">
        <v>183</v>
      </c>
      <c r="B10" s="266" t="s">
        <v>184</v>
      </c>
      <c r="C10" s="225"/>
      <c r="D10" s="226" t="s">
        <v>171</v>
      </c>
      <c r="E10" s="227">
        <v>30400</v>
      </c>
      <c r="F10" s="233" t="s">
        <v>185</v>
      </c>
      <c r="G10" s="229"/>
      <c r="H10" s="258"/>
      <c r="I10" s="267">
        <v>340.72500000000008</v>
      </c>
      <c r="J10" s="268">
        <v>71.969488200000001</v>
      </c>
      <c r="K10" s="232"/>
      <c r="L10" s="233">
        <v>0</v>
      </c>
      <c r="M10" s="261">
        <v>106.76249999999999</v>
      </c>
      <c r="N10" s="261">
        <v>477.10199999999986</v>
      </c>
      <c r="O10" s="261">
        <v>11073.312750000001</v>
      </c>
      <c r="P10" s="261">
        <v>437.36325000000005</v>
      </c>
      <c r="Q10" s="233">
        <v>0</v>
      </c>
      <c r="R10" s="269">
        <v>7.7647500000000003</v>
      </c>
      <c r="S10" s="270">
        <v>1220.4681249999999</v>
      </c>
      <c r="U10" s="234">
        <v>79.501874999999998</v>
      </c>
      <c r="V10" s="236"/>
      <c r="W10" s="261">
        <v>79.501874999999998</v>
      </c>
      <c r="X10" s="238"/>
      <c r="Y10" s="228">
        <v>0</v>
      </c>
      <c r="Z10" s="233">
        <v>1</v>
      </c>
      <c r="AA10" s="240">
        <v>0</v>
      </c>
      <c r="AB10" s="233">
        <v>6</v>
      </c>
      <c r="AC10" s="271">
        <v>6.6669999999999993E-2</v>
      </c>
      <c r="AE10" s="222">
        <v>0</v>
      </c>
      <c r="AF10" s="222">
        <v>0</v>
      </c>
      <c r="AG10" s="222">
        <v>0</v>
      </c>
      <c r="AH10" s="222">
        <v>0</v>
      </c>
      <c r="AI10" s="222">
        <v>0</v>
      </c>
      <c r="AJ10" s="222">
        <v>0</v>
      </c>
      <c r="AK10" s="222">
        <v>1</v>
      </c>
      <c r="AL10" s="55">
        <f t="shared" si="0"/>
        <v>1</v>
      </c>
      <c r="AM10" s="49">
        <f t="shared" si="1"/>
        <v>4.2857142857142856</v>
      </c>
    </row>
    <row r="11" spans="1:39" x14ac:dyDescent="0.25">
      <c r="A11" s="272" t="s">
        <v>186</v>
      </c>
      <c r="B11" s="222" t="s">
        <v>187</v>
      </c>
      <c r="C11" s="273"/>
      <c r="D11" s="274" t="s">
        <v>171</v>
      </c>
      <c r="E11" s="275" t="s">
        <v>185</v>
      </c>
      <c r="F11" s="228">
        <v>29980</v>
      </c>
      <c r="G11" s="232"/>
      <c r="H11" s="230"/>
      <c r="I11" s="276">
        <v>371.38750000000005</v>
      </c>
      <c r="J11" s="268">
        <v>84.563159850000005</v>
      </c>
      <c r="K11" s="232"/>
      <c r="L11" s="228">
        <v>0</v>
      </c>
      <c r="M11" s="277">
        <v>136.19999999999999</v>
      </c>
      <c r="N11" s="277">
        <v>354.96075000000008</v>
      </c>
      <c r="O11" s="277">
        <v>11267.273999999999</v>
      </c>
      <c r="P11" s="277">
        <v>506.75099999999998</v>
      </c>
      <c r="Q11" s="228">
        <v>0</v>
      </c>
      <c r="R11" s="278">
        <v>9.488249999999999</v>
      </c>
      <c r="S11" s="279">
        <v>1139.2065625000002</v>
      </c>
      <c r="U11" s="280">
        <v>68.891500000000008</v>
      </c>
      <c r="V11" s="281"/>
      <c r="W11" s="277">
        <v>68.891500000000008</v>
      </c>
      <c r="X11" s="282"/>
      <c r="Y11" s="228">
        <v>0</v>
      </c>
      <c r="Z11" s="228">
        <v>1</v>
      </c>
      <c r="AA11" s="283">
        <v>0</v>
      </c>
      <c r="AB11" s="228">
        <v>2</v>
      </c>
      <c r="AC11" s="284">
        <v>1.333E-2</v>
      </c>
      <c r="AE11" s="222">
        <v>0</v>
      </c>
      <c r="AF11" s="222">
        <v>0</v>
      </c>
      <c r="AG11" s="222">
        <v>0</v>
      </c>
      <c r="AH11" s="222">
        <v>0</v>
      </c>
      <c r="AI11" s="222">
        <v>0</v>
      </c>
      <c r="AJ11" s="222">
        <v>1</v>
      </c>
      <c r="AK11" s="222">
        <v>0</v>
      </c>
      <c r="AL11" s="55">
        <f t="shared" si="0"/>
        <v>-1</v>
      </c>
      <c r="AM11" s="49">
        <f t="shared" si="1"/>
        <v>1.4285714285714286</v>
      </c>
    </row>
    <row r="12" spans="1:39" x14ac:dyDescent="0.25">
      <c r="A12" s="272" t="s">
        <v>188</v>
      </c>
      <c r="B12" s="222" t="s">
        <v>189</v>
      </c>
      <c r="C12" s="273"/>
      <c r="D12" s="274"/>
      <c r="E12" s="275" t="s">
        <v>185</v>
      </c>
      <c r="F12" s="228" t="s">
        <v>185</v>
      </c>
      <c r="G12" s="232"/>
      <c r="H12" s="230"/>
      <c r="I12" s="276">
        <v>296.2208333333333</v>
      </c>
      <c r="J12" s="268">
        <v>41.641448400000002</v>
      </c>
      <c r="K12" s="232"/>
      <c r="L12" s="228">
        <v>0</v>
      </c>
      <c r="M12" s="277">
        <v>135.71250000000001</v>
      </c>
      <c r="N12" s="277">
        <v>131.11275000000001</v>
      </c>
      <c r="O12" s="277">
        <v>680.08124999999995</v>
      </c>
      <c r="P12" s="277">
        <v>161.57962500000002</v>
      </c>
      <c r="Q12" s="228">
        <v>0</v>
      </c>
      <c r="R12" s="285">
        <v>6.1904999999999992</v>
      </c>
      <c r="S12" s="279">
        <v>1043.1465625000001</v>
      </c>
      <c r="U12" s="280">
        <v>71.737499999999997</v>
      </c>
      <c r="V12" s="281"/>
      <c r="W12" s="277">
        <v>71.737499999999997</v>
      </c>
      <c r="X12" s="282"/>
      <c r="Y12" s="228">
        <v>0</v>
      </c>
      <c r="Z12" s="228">
        <v>2</v>
      </c>
      <c r="AA12" s="283">
        <v>0</v>
      </c>
      <c r="AB12" s="228">
        <v>8</v>
      </c>
      <c r="AC12" s="284">
        <v>6.6669999999999993E-2</v>
      </c>
      <c r="AE12" s="222">
        <v>0</v>
      </c>
      <c r="AF12" s="222">
        <v>1</v>
      </c>
      <c r="AG12" s="222">
        <v>0</v>
      </c>
      <c r="AH12" s="222">
        <v>0</v>
      </c>
      <c r="AI12" s="222">
        <v>0</v>
      </c>
      <c r="AJ12" s="222">
        <v>0</v>
      </c>
      <c r="AK12" s="222">
        <v>1</v>
      </c>
      <c r="AL12" s="55">
        <f t="shared" si="0"/>
        <v>2</v>
      </c>
      <c r="AM12" s="49">
        <f t="shared" si="1"/>
        <v>5.7142857142857144</v>
      </c>
    </row>
    <row r="13" spans="1:39" x14ac:dyDescent="0.25">
      <c r="A13" s="272" t="s">
        <v>190</v>
      </c>
      <c r="B13" s="222" t="s">
        <v>191</v>
      </c>
      <c r="C13" s="273"/>
      <c r="D13" s="274" t="s">
        <v>171</v>
      </c>
      <c r="E13" s="275" t="s">
        <v>185</v>
      </c>
      <c r="F13" s="228" t="s">
        <v>185</v>
      </c>
      <c r="G13" s="232"/>
      <c r="H13" s="230"/>
      <c r="I13" s="276">
        <v>294.25</v>
      </c>
      <c r="J13" s="268">
        <v>61.895542949999999</v>
      </c>
      <c r="K13" s="232"/>
      <c r="L13" s="228">
        <v>0</v>
      </c>
      <c r="M13" s="277">
        <v>73.574999999999989</v>
      </c>
      <c r="N13" s="277">
        <v>225.95400000000001</v>
      </c>
      <c r="O13" s="277">
        <v>8397.4897499999988</v>
      </c>
      <c r="P13" s="277">
        <v>921.68399999999997</v>
      </c>
      <c r="Q13" s="228">
        <v>0</v>
      </c>
      <c r="R13" s="285">
        <v>8.0756249999999987</v>
      </c>
      <c r="S13" s="279">
        <v>1175.8965625000001</v>
      </c>
      <c r="U13" s="280">
        <v>77.966624999999993</v>
      </c>
      <c r="V13" s="281"/>
      <c r="W13" s="277">
        <v>77.966624999999993</v>
      </c>
      <c r="X13" s="282"/>
      <c r="Y13" s="228">
        <v>0</v>
      </c>
      <c r="Z13" s="228">
        <v>2</v>
      </c>
      <c r="AA13" s="283">
        <v>0</v>
      </c>
      <c r="AB13" s="228">
        <v>8</v>
      </c>
      <c r="AC13" s="284">
        <v>0</v>
      </c>
      <c r="AE13" s="222">
        <v>0</v>
      </c>
      <c r="AF13" s="222">
        <v>1</v>
      </c>
      <c r="AG13" s="222">
        <v>0</v>
      </c>
      <c r="AH13" s="222">
        <v>0</v>
      </c>
      <c r="AI13" s="222">
        <v>0</v>
      </c>
      <c r="AJ13" s="222">
        <v>0</v>
      </c>
      <c r="AK13" s="222">
        <v>1</v>
      </c>
      <c r="AL13" s="55">
        <f t="shared" si="0"/>
        <v>2</v>
      </c>
      <c r="AM13" s="49">
        <f t="shared" si="1"/>
        <v>5.7142857142857144</v>
      </c>
    </row>
    <row r="14" spans="1:39" x14ac:dyDescent="0.25">
      <c r="A14" s="241" t="s">
        <v>192</v>
      </c>
      <c r="B14" s="263" t="s">
        <v>193</v>
      </c>
      <c r="C14" s="243"/>
      <c r="D14" s="244" t="s">
        <v>174</v>
      </c>
      <c r="E14" s="245">
        <v>3000</v>
      </c>
      <c r="F14" s="246" t="s">
        <v>185</v>
      </c>
      <c r="G14" s="247"/>
      <c r="H14" s="248"/>
      <c r="I14" s="286">
        <v>214.36250000000004</v>
      </c>
      <c r="J14" s="268">
        <v>49.508070750000002</v>
      </c>
      <c r="K14" s="232"/>
      <c r="L14" s="246">
        <v>0</v>
      </c>
      <c r="M14" s="264">
        <v>125.28750000000001</v>
      </c>
      <c r="N14" s="264">
        <v>266.17124999999999</v>
      </c>
      <c r="O14" s="264">
        <v>9663.3858749999999</v>
      </c>
      <c r="P14" s="264">
        <v>705.72974999999997</v>
      </c>
      <c r="Q14" s="246">
        <v>0</v>
      </c>
      <c r="R14" s="287">
        <v>6.1421249999999992</v>
      </c>
      <c r="S14" s="288">
        <v>1216.5471875000001</v>
      </c>
      <c r="T14" s="125"/>
      <c r="U14" s="251">
        <v>19.680750000000003</v>
      </c>
      <c r="V14" s="253"/>
      <c r="W14" s="264">
        <v>25.467499999999998</v>
      </c>
      <c r="X14" s="255"/>
      <c r="Y14" s="246">
        <v>0</v>
      </c>
      <c r="Z14" s="246">
        <v>1</v>
      </c>
      <c r="AA14" s="256">
        <v>0</v>
      </c>
      <c r="AB14" s="246">
        <v>2</v>
      </c>
      <c r="AC14" s="289">
        <v>2</v>
      </c>
      <c r="AE14" s="222">
        <v>0</v>
      </c>
      <c r="AF14" s="222">
        <v>0</v>
      </c>
      <c r="AG14" s="222">
        <v>0</v>
      </c>
      <c r="AH14" s="222">
        <v>0</v>
      </c>
      <c r="AI14" s="222">
        <v>0</v>
      </c>
      <c r="AJ14" s="222">
        <v>1</v>
      </c>
      <c r="AK14" s="222">
        <v>0</v>
      </c>
      <c r="AL14" s="55">
        <f t="shared" si="0"/>
        <v>-1</v>
      </c>
      <c r="AM14" s="49">
        <f t="shared" si="1"/>
        <v>1.4285714285714286</v>
      </c>
    </row>
    <row r="15" spans="1:39" x14ac:dyDescent="0.25">
      <c r="A15" s="223" t="s">
        <v>194</v>
      </c>
      <c r="B15" s="224" t="s">
        <v>195</v>
      </c>
      <c r="C15" s="225"/>
      <c r="D15" s="226" t="s">
        <v>171</v>
      </c>
      <c r="E15" s="227">
        <v>10.29</v>
      </c>
      <c r="F15" s="233"/>
      <c r="G15" s="229"/>
      <c r="H15" s="258"/>
      <c r="I15" s="267">
        <v>633.37083333333328</v>
      </c>
      <c r="J15" s="260">
        <v>77.544757349999998</v>
      </c>
      <c r="K15" s="232"/>
      <c r="L15" s="233">
        <v>9</v>
      </c>
      <c r="M15" s="261">
        <v>288</v>
      </c>
      <c r="N15" s="261">
        <v>321.57000000000005</v>
      </c>
      <c r="O15" s="261">
        <v>10608.795</v>
      </c>
      <c r="P15" s="261">
        <v>825.25499999999988</v>
      </c>
      <c r="Q15" s="261">
        <v>39.581249999999997</v>
      </c>
      <c r="R15" s="262">
        <v>12.878787766875</v>
      </c>
      <c r="S15" s="261">
        <v>797.73500000000001</v>
      </c>
      <c r="T15" s="275"/>
      <c r="U15" s="234">
        <v>65.80212499999999</v>
      </c>
      <c r="V15" s="236"/>
      <c r="W15" s="234">
        <v>65.80212499999999</v>
      </c>
      <c r="X15" s="238"/>
      <c r="Y15" s="233">
        <v>0</v>
      </c>
      <c r="Z15" s="233">
        <v>0</v>
      </c>
      <c r="AA15" s="240">
        <v>4</v>
      </c>
      <c r="AB15" s="233">
        <v>4</v>
      </c>
      <c r="AC15" s="239">
        <v>0</v>
      </c>
      <c r="AE15" s="222">
        <v>0</v>
      </c>
      <c r="AF15" s="222">
        <v>0</v>
      </c>
      <c r="AG15" s="222">
        <v>0</v>
      </c>
      <c r="AH15" s="222">
        <v>0</v>
      </c>
      <c r="AI15" s="222">
        <v>0</v>
      </c>
      <c r="AJ15" s="222">
        <v>0</v>
      </c>
      <c r="AK15" s="222">
        <v>0</v>
      </c>
      <c r="AL15" s="55">
        <f t="shared" si="0"/>
        <v>0</v>
      </c>
      <c r="AM15" s="49">
        <f t="shared" si="1"/>
        <v>2.8571428571428572</v>
      </c>
    </row>
    <row r="16" spans="1:39" x14ac:dyDescent="0.25">
      <c r="A16" s="272" t="s">
        <v>196</v>
      </c>
      <c r="B16" s="222" t="s">
        <v>197</v>
      </c>
      <c r="C16" s="273"/>
      <c r="D16" s="274"/>
      <c r="E16" s="275" t="s">
        <v>73</v>
      </c>
      <c r="F16" s="228"/>
      <c r="G16" s="232"/>
      <c r="H16" s="230"/>
      <c r="I16" s="276">
        <v>298.09999999999997</v>
      </c>
      <c r="J16" s="231">
        <v>67.403371050000004</v>
      </c>
      <c r="K16" s="232"/>
      <c r="L16" s="228">
        <v>0</v>
      </c>
      <c r="M16" s="277">
        <v>44.999999999999986</v>
      </c>
      <c r="N16" s="277">
        <v>108.58500000000001</v>
      </c>
      <c r="O16" s="277">
        <v>4501.8</v>
      </c>
      <c r="P16" s="277">
        <v>359.23500000000001</v>
      </c>
      <c r="Q16" s="277">
        <v>0</v>
      </c>
      <c r="R16" s="290">
        <v>5.2632978663749999</v>
      </c>
      <c r="S16" s="277">
        <v>613.59156250000001</v>
      </c>
      <c r="T16" s="275"/>
      <c r="U16" s="280">
        <v>80.708249999999992</v>
      </c>
      <c r="V16" s="281"/>
      <c r="W16" s="280">
        <v>80.708249999999992</v>
      </c>
      <c r="X16" s="282"/>
      <c r="Y16" s="228">
        <v>0</v>
      </c>
      <c r="Z16" s="228">
        <v>5</v>
      </c>
      <c r="AA16" s="283">
        <v>2200</v>
      </c>
      <c r="AB16" s="228">
        <v>6</v>
      </c>
      <c r="AC16" s="291">
        <v>0</v>
      </c>
      <c r="AE16" s="222">
        <v>1</v>
      </c>
      <c r="AF16" s="222">
        <v>1</v>
      </c>
      <c r="AG16" s="222">
        <v>0</v>
      </c>
      <c r="AH16" s="222">
        <v>0</v>
      </c>
      <c r="AI16" s="222">
        <v>1</v>
      </c>
      <c r="AJ16" s="222">
        <v>1</v>
      </c>
      <c r="AK16" s="222">
        <v>1</v>
      </c>
      <c r="AL16" s="55">
        <f t="shared" si="0"/>
        <v>1</v>
      </c>
      <c r="AM16" s="49">
        <f t="shared" si="1"/>
        <v>4.2857142857142856</v>
      </c>
    </row>
    <row r="17" spans="1:40" x14ac:dyDescent="0.25">
      <c r="A17" s="272" t="s">
        <v>198</v>
      </c>
      <c r="B17" s="222" t="s">
        <v>199</v>
      </c>
      <c r="C17" s="273"/>
      <c r="D17" s="274" t="s">
        <v>171</v>
      </c>
      <c r="E17" s="275" t="s">
        <v>73</v>
      </c>
      <c r="F17" s="228"/>
      <c r="G17" s="232"/>
      <c r="H17" s="230"/>
      <c r="I17" s="276">
        <v>415.43333333333339</v>
      </c>
      <c r="J17" s="231">
        <v>85.107681450000001</v>
      </c>
      <c r="K17" s="232"/>
      <c r="L17" s="228">
        <v>0</v>
      </c>
      <c r="M17" s="277">
        <v>157.83750000000003</v>
      </c>
      <c r="N17" s="277">
        <v>195.03000000000003</v>
      </c>
      <c r="O17" s="277">
        <v>6071.8950000000004</v>
      </c>
      <c r="P17" s="277">
        <v>427.86</v>
      </c>
      <c r="Q17" s="277">
        <v>0</v>
      </c>
      <c r="R17" s="290">
        <v>8.4091036649999999</v>
      </c>
      <c r="S17" s="277">
        <v>783.60656250000011</v>
      </c>
      <c r="T17" s="275"/>
      <c r="U17" s="280">
        <v>71.150999999999982</v>
      </c>
      <c r="V17" s="281"/>
      <c r="W17" s="280">
        <v>71.150999999999982</v>
      </c>
      <c r="X17" s="282"/>
      <c r="Y17" s="228">
        <v>0</v>
      </c>
      <c r="Z17" s="228">
        <v>0</v>
      </c>
      <c r="AA17" s="283">
        <v>4</v>
      </c>
      <c r="AB17" s="228">
        <v>4</v>
      </c>
      <c r="AC17" s="291">
        <v>0</v>
      </c>
      <c r="AE17" s="222">
        <v>0</v>
      </c>
      <c r="AF17" s="222">
        <v>0</v>
      </c>
      <c r="AG17" s="222">
        <v>0</v>
      </c>
      <c r="AH17" s="222">
        <v>0</v>
      </c>
      <c r="AI17" s="222">
        <v>0</v>
      </c>
      <c r="AJ17" s="222">
        <v>0</v>
      </c>
      <c r="AK17" s="222">
        <v>0</v>
      </c>
      <c r="AL17" s="55">
        <f t="shared" si="0"/>
        <v>0</v>
      </c>
      <c r="AM17" s="49">
        <f t="shared" si="1"/>
        <v>2.8571428571428572</v>
      </c>
    </row>
    <row r="18" spans="1:40" x14ac:dyDescent="0.25">
      <c r="A18" s="241" t="s">
        <v>200</v>
      </c>
      <c r="B18" s="242" t="s">
        <v>201</v>
      </c>
      <c r="C18" s="243"/>
      <c r="D18" s="244" t="s">
        <v>174</v>
      </c>
      <c r="E18" s="245" t="s">
        <v>73</v>
      </c>
      <c r="F18" s="246"/>
      <c r="G18" s="247"/>
      <c r="H18" s="248"/>
      <c r="I18" s="286">
        <v>209.87083333333331</v>
      </c>
      <c r="J18" s="250">
        <v>60.401722049999996</v>
      </c>
      <c r="K18" s="232"/>
      <c r="L18" s="246">
        <v>0</v>
      </c>
      <c r="M18" s="264">
        <v>67.087500000000006</v>
      </c>
      <c r="N18" s="264">
        <v>121.455</v>
      </c>
      <c r="O18" s="264">
        <v>3201.6149999999998</v>
      </c>
      <c r="P18" s="264">
        <v>208.57500000000002</v>
      </c>
      <c r="Q18" s="264">
        <v>0</v>
      </c>
      <c r="R18" s="254">
        <v>2.8606677517499999</v>
      </c>
      <c r="S18" s="264">
        <v>304.51312499999995</v>
      </c>
      <c r="T18" s="245"/>
      <c r="U18" s="251">
        <v>71.573249999999987</v>
      </c>
      <c r="V18" s="253"/>
      <c r="W18" s="251">
        <v>71.573249999999987</v>
      </c>
      <c r="X18" s="255"/>
      <c r="Y18" s="246">
        <v>0</v>
      </c>
      <c r="Z18" s="246">
        <v>2</v>
      </c>
      <c r="AA18" s="256">
        <v>1850</v>
      </c>
      <c r="AB18" s="246">
        <v>8</v>
      </c>
      <c r="AC18" s="257">
        <v>0</v>
      </c>
      <c r="AE18" s="222">
        <v>1</v>
      </c>
      <c r="AF18" s="222">
        <v>1</v>
      </c>
      <c r="AG18" s="222">
        <v>0</v>
      </c>
      <c r="AH18" s="222">
        <v>0</v>
      </c>
      <c r="AI18" s="222">
        <v>0</v>
      </c>
      <c r="AJ18" s="222">
        <v>0</v>
      </c>
      <c r="AK18" s="222">
        <v>0</v>
      </c>
      <c r="AL18" s="55">
        <f t="shared" si="0"/>
        <v>2</v>
      </c>
      <c r="AM18" s="49">
        <f t="shared" si="1"/>
        <v>5.7142857142857144</v>
      </c>
    </row>
    <row r="19" spans="1:40" x14ac:dyDescent="0.25">
      <c r="A19" s="223" t="s">
        <v>202</v>
      </c>
      <c r="B19" s="224" t="s">
        <v>203</v>
      </c>
      <c r="C19" s="225"/>
      <c r="D19" s="226" t="s">
        <v>174</v>
      </c>
      <c r="E19" s="292">
        <v>15222.5</v>
      </c>
      <c r="F19" s="233"/>
      <c r="G19" s="229"/>
      <c r="H19" s="258"/>
      <c r="I19" s="267">
        <v>24.0625</v>
      </c>
      <c r="J19" s="260">
        <v>25</v>
      </c>
      <c r="K19" s="232"/>
      <c r="L19" s="233">
        <v>0</v>
      </c>
      <c r="M19" s="261">
        <v>8.2124999999999986</v>
      </c>
      <c r="N19" s="261">
        <v>63.944999999999993</v>
      </c>
      <c r="O19" s="233">
        <v>1304.8199999999997</v>
      </c>
      <c r="P19" s="233">
        <v>88.109999999999985</v>
      </c>
      <c r="Q19" s="233"/>
      <c r="R19" s="262">
        <v>0.18032999999999999</v>
      </c>
      <c r="S19" s="261">
        <v>139.34245981653106</v>
      </c>
      <c r="T19" s="227"/>
      <c r="U19" s="229">
        <v>61</v>
      </c>
      <c r="V19" s="236"/>
      <c r="W19" s="233">
        <v>61</v>
      </c>
      <c r="X19" s="293"/>
      <c r="Y19" s="294"/>
      <c r="Z19" s="295"/>
      <c r="AA19" s="259"/>
      <c r="AB19" s="295"/>
      <c r="AC19" s="296"/>
      <c r="AE19" s="222"/>
      <c r="AF19" s="222"/>
      <c r="AG19" s="222"/>
      <c r="AH19" s="222"/>
      <c r="AI19" s="222"/>
      <c r="AJ19" s="222"/>
      <c r="AK19" s="222"/>
      <c r="AL19" s="55"/>
      <c r="AM19" s="49"/>
    </row>
    <row r="20" spans="1:40" x14ac:dyDescent="0.25">
      <c r="A20" s="241" t="s">
        <v>204</v>
      </c>
      <c r="B20" s="242" t="s">
        <v>205</v>
      </c>
      <c r="C20" s="243"/>
      <c r="D20" s="244" t="s">
        <v>171</v>
      </c>
      <c r="E20" s="297">
        <v>289780.75</v>
      </c>
      <c r="F20" s="246"/>
      <c r="G20" s="247"/>
      <c r="H20" s="248"/>
      <c r="I20" s="286">
        <v>112.56666666666666</v>
      </c>
      <c r="J20" s="250">
        <v>40</v>
      </c>
      <c r="K20" s="232"/>
      <c r="L20" s="246">
        <v>0</v>
      </c>
      <c r="M20" s="264">
        <v>85.012499999999989</v>
      </c>
      <c r="N20" s="264">
        <v>61.244999999999997</v>
      </c>
      <c r="O20" s="246">
        <v>469.35</v>
      </c>
      <c r="P20" s="246">
        <v>60.300000000000004</v>
      </c>
      <c r="Q20" s="246"/>
      <c r="R20" s="265">
        <v>0.86609625000000012</v>
      </c>
      <c r="S20" s="264">
        <v>214.63862628141223</v>
      </c>
      <c r="T20" s="245"/>
      <c r="U20" s="247">
        <v>75</v>
      </c>
      <c r="V20" s="253"/>
      <c r="W20" s="246">
        <v>75</v>
      </c>
      <c r="X20" s="298"/>
      <c r="Y20" s="125"/>
      <c r="Z20" s="299"/>
      <c r="AA20" s="249"/>
      <c r="AB20" s="299"/>
      <c r="AC20" s="7"/>
      <c r="AE20" s="222"/>
      <c r="AF20" s="222"/>
      <c r="AG20" s="222"/>
      <c r="AH20" s="222"/>
      <c r="AI20" s="222"/>
      <c r="AJ20" s="222"/>
      <c r="AK20" s="222"/>
      <c r="AL20" s="55"/>
      <c r="AM20" s="49"/>
    </row>
    <row r="21" spans="1:40" x14ac:dyDescent="0.25">
      <c r="A21" s="223" t="s">
        <v>206</v>
      </c>
      <c r="B21" s="224" t="s">
        <v>207</v>
      </c>
      <c r="C21" s="225"/>
      <c r="D21" s="226" t="s">
        <v>171</v>
      </c>
      <c r="E21" s="227"/>
      <c r="F21" s="233"/>
      <c r="G21" s="229"/>
      <c r="H21" s="258"/>
      <c r="I21" s="267">
        <v>276.74166666666662</v>
      </c>
      <c r="J21" s="260">
        <v>67</v>
      </c>
      <c r="K21" s="232"/>
      <c r="L21" s="233">
        <v>5</v>
      </c>
      <c r="M21" s="261">
        <v>217.98749999999998</v>
      </c>
      <c r="N21" s="261">
        <v>648.94499999999994</v>
      </c>
      <c r="O21" s="233">
        <v>9379.7100000000009</v>
      </c>
      <c r="P21" s="233">
        <v>1085.8050000000001</v>
      </c>
      <c r="Q21" s="233">
        <v>0</v>
      </c>
      <c r="R21" s="262">
        <v>8.5654379625000008</v>
      </c>
      <c r="S21" s="261">
        <v>857.80531250000001</v>
      </c>
      <c r="T21" s="227"/>
      <c r="U21" s="229">
        <v>86</v>
      </c>
      <c r="V21" s="236"/>
      <c r="W21" s="233">
        <v>86</v>
      </c>
      <c r="X21" s="238"/>
      <c r="Y21" s="233">
        <v>0</v>
      </c>
      <c r="Z21" s="227">
        <v>1</v>
      </c>
      <c r="AA21" s="240">
        <v>0</v>
      </c>
      <c r="AB21" s="233">
        <v>6</v>
      </c>
      <c r="AC21" s="239">
        <v>3</v>
      </c>
      <c r="AE21" s="222">
        <v>0</v>
      </c>
      <c r="AF21" s="222">
        <v>1</v>
      </c>
      <c r="AG21" s="222">
        <v>0</v>
      </c>
      <c r="AH21" s="222">
        <v>0</v>
      </c>
      <c r="AI21" s="222">
        <v>0</v>
      </c>
      <c r="AJ21" s="222">
        <v>0</v>
      </c>
      <c r="AK21" s="222">
        <v>0</v>
      </c>
      <c r="AL21" s="55">
        <f t="shared" ref="AL21:AL22" si="2">AE21+AF21+AG21+AH21-AI21-AJ21+AK21</f>
        <v>1</v>
      </c>
      <c r="AM21" s="49">
        <f t="shared" ref="AM21:AM22" si="3">10*(AL21-(-2))/(7)</f>
        <v>4.2857142857142856</v>
      </c>
    </row>
    <row r="22" spans="1:40" x14ac:dyDescent="0.25">
      <c r="A22" s="241" t="s">
        <v>208</v>
      </c>
      <c r="B22" s="242" t="s">
        <v>209</v>
      </c>
      <c r="C22" s="243"/>
      <c r="D22" s="244" t="s">
        <v>174</v>
      </c>
      <c r="E22" s="245"/>
      <c r="F22" s="246"/>
      <c r="G22" s="247"/>
      <c r="H22" s="248"/>
      <c r="I22" s="286">
        <v>217.11249999999998</v>
      </c>
      <c r="J22" s="250">
        <v>49</v>
      </c>
      <c r="K22" s="232"/>
      <c r="L22" s="246">
        <v>3</v>
      </c>
      <c r="M22" s="264">
        <v>222.71249999999998</v>
      </c>
      <c r="N22" s="264">
        <v>1039.9050000000002</v>
      </c>
      <c r="O22" s="246">
        <v>6924.375</v>
      </c>
      <c r="P22" s="246">
        <v>691.15499999999997</v>
      </c>
      <c r="Q22" s="246">
        <v>0</v>
      </c>
      <c r="R22" s="265">
        <v>6.7924439249999997</v>
      </c>
      <c r="S22" s="264">
        <v>789.56</v>
      </c>
      <c r="T22" s="245"/>
      <c r="U22" s="247">
        <v>82</v>
      </c>
      <c r="V22" s="253"/>
      <c r="W22" s="246">
        <v>82</v>
      </c>
      <c r="X22" s="255"/>
      <c r="Y22" s="246">
        <v>0</v>
      </c>
      <c r="Z22" s="245">
        <v>1</v>
      </c>
      <c r="AA22" s="256">
        <v>0</v>
      </c>
      <c r="AB22" s="246">
        <v>6</v>
      </c>
      <c r="AC22" s="257">
        <v>2</v>
      </c>
      <c r="AE22" s="222">
        <v>0</v>
      </c>
      <c r="AF22" s="222">
        <v>1</v>
      </c>
      <c r="AG22" s="222">
        <v>0</v>
      </c>
      <c r="AH22" s="222">
        <v>0</v>
      </c>
      <c r="AI22" s="222">
        <v>0</v>
      </c>
      <c r="AJ22" s="222">
        <v>0</v>
      </c>
      <c r="AK22" s="222">
        <v>0</v>
      </c>
      <c r="AL22" s="55">
        <f t="shared" si="2"/>
        <v>1</v>
      </c>
      <c r="AM22" s="49">
        <f t="shared" si="3"/>
        <v>4.2857142857142856</v>
      </c>
    </row>
    <row r="23" spans="1:40" x14ac:dyDescent="0.25">
      <c r="A23" s="272" t="s">
        <v>210</v>
      </c>
      <c r="B23" s="222" t="s">
        <v>211</v>
      </c>
      <c r="C23" s="273"/>
      <c r="D23" s="274" t="s">
        <v>174</v>
      </c>
      <c r="E23" s="275">
        <v>4143</v>
      </c>
      <c r="F23" s="228"/>
      <c r="G23" s="232"/>
      <c r="H23" s="230"/>
      <c r="I23" s="276">
        <v>123.81111111111112</v>
      </c>
      <c r="J23" s="231">
        <v>15.33</v>
      </c>
      <c r="K23" s="232"/>
      <c r="L23" s="228">
        <v>0</v>
      </c>
      <c r="M23" s="228">
        <v>59.6</v>
      </c>
      <c r="N23" s="277">
        <v>574.74099999999999</v>
      </c>
      <c r="O23" s="277">
        <v>3959.6419999999998</v>
      </c>
      <c r="P23" s="277">
        <v>1027.8579999999999</v>
      </c>
      <c r="Q23" s="277">
        <v>10.258713999999999</v>
      </c>
      <c r="R23" s="300">
        <v>4.1186700000000007</v>
      </c>
      <c r="S23" s="277">
        <v>840.50333333333333</v>
      </c>
      <c r="T23" s="275"/>
      <c r="U23" s="232">
        <v>21</v>
      </c>
      <c r="V23" s="281"/>
      <c r="W23" s="228">
        <v>21</v>
      </c>
      <c r="X23" s="282"/>
      <c r="Y23" s="228">
        <v>1</v>
      </c>
      <c r="Z23" s="275">
        <v>7</v>
      </c>
      <c r="AA23" s="283">
        <v>6300</v>
      </c>
      <c r="AB23" s="228">
        <v>10</v>
      </c>
      <c r="AC23" s="239" t="s">
        <v>73</v>
      </c>
      <c r="AE23" s="222"/>
      <c r="AF23" s="222"/>
      <c r="AG23" s="222"/>
      <c r="AH23" s="222"/>
      <c r="AI23" s="222"/>
      <c r="AJ23" s="222"/>
      <c r="AK23" s="222"/>
      <c r="AL23" s="55"/>
    </row>
    <row r="24" spans="1:40" x14ac:dyDescent="0.25">
      <c r="A24" s="272" t="s">
        <v>212</v>
      </c>
      <c r="B24" s="222" t="s">
        <v>213</v>
      </c>
      <c r="C24" s="273"/>
      <c r="D24" s="274" t="s">
        <v>171</v>
      </c>
      <c r="E24" s="275">
        <v>39425</v>
      </c>
      <c r="F24" s="228"/>
      <c r="G24" s="232"/>
      <c r="H24" s="230"/>
      <c r="I24" s="276">
        <v>151.43333333333331</v>
      </c>
      <c r="J24" s="231">
        <v>27.32</v>
      </c>
      <c r="K24" s="232"/>
      <c r="L24" s="228">
        <v>0</v>
      </c>
      <c r="M24" s="228">
        <v>227.60000000000002</v>
      </c>
      <c r="N24" s="277">
        <v>793.51</v>
      </c>
      <c r="O24" s="277">
        <v>3491.585</v>
      </c>
      <c r="P24" s="277">
        <v>1210.127</v>
      </c>
      <c r="Q24" s="277">
        <v>74.59</v>
      </c>
      <c r="R24" s="300">
        <v>1.7130411600000002</v>
      </c>
      <c r="S24" s="277">
        <v>513.01916666666659</v>
      </c>
      <c r="T24" s="275"/>
      <c r="U24" s="232">
        <v>70</v>
      </c>
      <c r="V24" s="281"/>
      <c r="W24" s="228">
        <v>70</v>
      </c>
      <c r="X24" s="282"/>
      <c r="Y24" s="228">
        <v>1</v>
      </c>
      <c r="Z24" s="275">
        <v>7</v>
      </c>
      <c r="AA24" s="283">
        <v>782</v>
      </c>
      <c r="AB24" s="228">
        <v>10</v>
      </c>
      <c r="AC24" s="291" t="s">
        <v>73</v>
      </c>
      <c r="AE24" s="222"/>
      <c r="AF24" s="222"/>
      <c r="AG24" s="222"/>
      <c r="AH24" s="222"/>
      <c r="AI24" s="222"/>
      <c r="AJ24" s="222"/>
      <c r="AK24" s="222"/>
      <c r="AL24" s="55"/>
    </row>
    <row r="25" spans="1:40" s="249" customFormat="1" x14ac:dyDescent="0.25">
      <c r="A25" s="241" t="s">
        <v>214</v>
      </c>
      <c r="B25" s="242" t="s">
        <v>215</v>
      </c>
      <c r="C25" s="243"/>
      <c r="D25" s="244"/>
      <c r="E25" s="245">
        <v>1316</v>
      </c>
      <c r="F25" s="246"/>
      <c r="G25" s="247"/>
      <c r="H25" s="248"/>
      <c r="I25" s="286">
        <v>651.81111111111102</v>
      </c>
      <c r="J25" s="250">
        <v>37.54</v>
      </c>
      <c r="K25" s="232"/>
      <c r="L25" s="246">
        <v>0</v>
      </c>
      <c r="M25" s="246">
        <v>15.400000000000002</v>
      </c>
      <c r="N25" s="264">
        <v>203.59100000000001</v>
      </c>
      <c r="O25" s="264">
        <v>8628.1189999999988</v>
      </c>
      <c r="P25" s="264">
        <v>1910.9739999999999</v>
      </c>
      <c r="Q25" s="264">
        <v>31.159999999999997</v>
      </c>
      <c r="R25" s="265">
        <v>0.55758892000000004</v>
      </c>
      <c r="S25" s="264">
        <v>562.53250000000003</v>
      </c>
      <c r="T25" s="245"/>
      <c r="U25" s="247">
        <v>45</v>
      </c>
      <c r="V25" s="253"/>
      <c r="W25" s="246">
        <v>45</v>
      </c>
      <c r="X25" s="255"/>
      <c r="Y25" s="246">
        <v>1</v>
      </c>
      <c r="Z25" s="245">
        <v>7</v>
      </c>
      <c r="AA25" s="256" t="s">
        <v>73</v>
      </c>
      <c r="AB25" s="246">
        <v>10</v>
      </c>
      <c r="AC25" s="257" t="s">
        <v>73</v>
      </c>
      <c r="AD25"/>
      <c r="AE25" s="222"/>
      <c r="AF25" s="222"/>
      <c r="AG25" s="222"/>
      <c r="AH25" s="222"/>
      <c r="AI25" s="222"/>
      <c r="AJ25" s="222"/>
      <c r="AK25" s="222"/>
      <c r="AL25" s="55"/>
      <c r="AM25"/>
      <c r="AN25"/>
    </row>
    <row r="26" spans="1:40" x14ac:dyDescent="0.25">
      <c r="A26" s="272" t="s">
        <v>216</v>
      </c>
      <c r="B26" s="222" t="s">
        <v>217</v>
      </c>
      <c r="C26" s="273"/>
      <c r="D26" s="274"/>
      <c r="E26" s="301">
        <v>3667.5333333333328</v>
      </c>
      <c r="F26" s="228"/>
      <c r="G26" s="232"/>
      <c r="H26" s="230"/>
      <c r="I26" s="276">
        <v>850.20222222222219</v>
      </c>
      <c r="J26" s="231">
        <v>54.67</v>
      </c>
      <c r="K26" s="232"/>
      <c r="L26" s="228">
        <v>0</v>
      </c>
      <c r="M26" s="277">
        <v>256.48</v>
      </c>
      <c r="N26" s="277">
        <v>401.15699999999998</v>
      </c>
      <c r="O26" s="277">
        <v>14937.148800000001</v>
      </c>
      <c r="P26" s="277">
        <v>422.46760000000006</v>
      </c>
      <c r="Q26" s="228">
        <v>0</v>
      </c>
      <c r="R26" s="300">
        <v>0.95124303199999971</v>
      </c>
      <c r="S26" s="277">
        <v>892.10916666666651</v>
      </c>
      <c r="T26" s="275"/>
      <c r="U26" s="232">
        <v>53</v>
      </c>
      <c r="V26" s="281"/>
      <c r="W26" s="228">
        <v>56</v>
      </c>
      <c r="X26" s="282"/>
      <c r="Y26" s="228">
        <v>1</v>
      </c>
      <c r="Z26" s="275">
        <v>2</v>
      </c>
      <c r="AA26" s="283">
        <v>200</v>
      </c>
      <c r="AB26" s="228">
        <v>0</v>
      </c>
      <c r="AC26" s="291">
        <v>1.5</v>
      </c>
      <c r="AE26" s="222"/>
      <c r="AF26" s="222"/>
      <c r="AG26" s="222"/>
      <c r="AH26" s="222"/>
      <c r="AI26" s="222"/>
      <c r="AJ26" s="222"/>
      <c r="AK26" s="222"/>
      <c r="AL26" s="55"/>
      <c r="AM26" s="249"/>
      <c r="AN26" s="249"/>
    </row>
    <row r="27" spans="1:40" ht="15.75" thickBot="1" x14ac:dyDescent="0.3">
      <c r="A27" s="241" t="s">
        <v>218</v>
      </c>
      <c r="B27" s="263" t="s">
        <v>219</v>
      </c>
      <c r="C27" s="243"/>
      <c r="D27" s="244" t="s">
        <v>174</v>
      </c>
      <c r="E27" s="297">
        <v>6200.2833333333338</v>
      </c>
      <c r="F27" s="302"/>
      <c r="G27" s="247"/>
      <c r="H27" s="248"/>
      <c r="I27" s="286">
        <v>413.47777777777782</v>
      </c>
      <c r="J27" s="250">
        <v>61.44</v>
      </c>
      <c r="K27" s="232"/>
      <c r="L27" s="246">
        <v>0</v>
      </c>
      <c r="M27" s="264">
        <v>238.95</v>
      </c>
      <c r="N27" s="264">
        <v>491.59100000000001</v>
      </c>
      <c r="O27" s="264">
        <v>11104.4375</v>
      </c>
      <c r="P27" s="264">
        <v>570.5005000000001</v>
      </c>
      <c r="Q27" s="246">
        <v>0</v>
      </c>
      <c r="R27" s="265">
        <v>0.86062235831101619</v>
      </c>
      <c r="S27" s="264">
        <v>1067.3854166666667</v>
      </c>
      <c r="T27" s="245"/>
      <c r="U27" s="247">
        <v>47</v>
      </c>
      <c r="V27" s="253"/>
      <c r="W27" s="246">
        <v>48</v>
      </c>
      <c r="X27" s="255"/>
      <c r="Y27" s="246">
        <v>1</v>
      </c>
      <c r="Z27" s="245">
        <v>2</v>
      </c>
      <c r="AA27" s="256">
        <v>200</v>
      </c>
      <c r="AB27" s="246">
        <v>0</v>
      </c>
      <c r="AC27" s="257">
        <v>1.5</v>
      </c>
      <c r="AE27" s="222">
        <v>1</v>
      </c>
      <c r="AF27" s="222">
        <v>1</v>
      </c>
      <c r="AG27" s="222">
        <v>1</v>
      </c>
      <c r="AH27" s="222">
        <v>1</v>
      </c>
      <c r="AI27" s="222">
        <v>1</v>
      </c>
      <c r="AJ27" s="222">
        <v>1</v>
      </c>
      <c r="AK27" s="222">
        <v>1</v>
      </c>
      <c r="AL27" s="55">
        <f t="shared" ref="AL27" si="4">AE27+AF27+AG27+AH27-AI27-AJ27+AK27</f>
        <v>3</v>
      </c>
    </row>
    <row r="28" spans="1:40" x14ac:dyDescent="0.25">
      <c r="AE28" s="222"/>
      <c r="AF28" s="222"/>
      <c r="AG28" s="222"/>
      <c r="AH28" s="222"/>
      <c r="AI28" s="222"/>
      <c r="AJ28" s="222"/>
      <c r="AK28" s="222"/>
      <c r="AL28" s="55"/>
    </row>
    <row r="29" spans="1:40" x14ac:dyDescent="0.25">
      <c r="AE29" s="222"/>
      <c r="AF29" s="222"/>
      <c r="AG29" s="222"/>
      <c r="AH29" s="222"/>
      <c r="AI29" s="222"/>
      <c r="AJ29" s="222"/>
      <c r="AK29" s="222"/>
      <c r="AL29" s="55"/>
    </row>
    <row r="30" spans="1:40" x14ac:dyDescent="0.25">
      <c r="A30" s="404" t="s">
        <v>220</v>
      </c>
      <c r="B30" s="404"/>
      <c r="AE30" s="222"/>
      <c r="AF30" s="222"/>
      <c r="AG30" s="222"/>
      <c r="AH30" s="222"/>
      <c r="AI30" s="222"/>
      <c r="AJ30" s="222"/>
      <c r="AK30" s="222"/>
      <c r="AL30" s="55"/>
    </row>
    <row r="31" spans="1:40" x14ac:dyDescent="0.25">
      <c r="A31" s="272" t="s">
        <v>210</v>
      </c>
      <c r="B31" s="222" t="s">
        <v>211</v>
      </c>
      <c r="C31" s="273"/>
      <c r="D31" s="274" t="s">
        <v>174</v>
      </c>
      <c r="E31" s="275"/>
      <c r="F31" s="228"/>
      <c r="G31" s="232"/>
      <c r="H31" s="230"/>
      <c r="I31" s="276"/>
      <c r="J31" s="231"/>
      <c r="K31" s="232"/>
      <c r="L31" s="228"/>
      <c r="M31" s="228"/>
      <c r="N31" s="277"/>
      <c r="O31" s="277"/>
      <c r="P31" s="277"/>
      <c r="Q31" s="277"/>
      <c r="R31" s="300"/>
      <c r="S31" s="277"/>
      <c r="T31" s="275"/>
      <c r="U31" s="232"/>
      <c r="V31" s="281"/>
      <c r="W31" s="228"/>
      <c r="X31" s="282"/>
      <c r="Y31" s="228"/>
      <c r="Z31" s="275"/>
      <c r="AA31" s="283"/>
      <c r="AB31" s="228"/>
      <c r="AC31" s="239"/>
      <c r="AE31" s="222"/>
      <c r="AF31" s="222"/>
      <c r="AG31" s="222"/>
      <c r="AH31" s="222"/>
      <c r="AI31" s="222"/>
      <c r="AJ31" s="222"/>
      <c r="AK31" s="222"/>
      <c r="AL31" s="55"/>
    </row>
    <row r="32" spans="1:40" x14ac:dyDescent="0.25">
      <c r="A32" s="272" t="s">
        <v>212</v>
      </c>
      <c r="B32" s="222" t="s">
        <v>213</v>
      </c>
      <c r="C32" s="273"/>
      <c r="D32" s="274" t="s">
        <v>171</v>
      </c>
      <c r="E32" s="275"/>
      <c r="F32" s="228"/>
      <c r="G32" s="232"/>
      <c r="H32" s="230"/>
      <c r="I32" s="276"/>
      <c r="J32" s="231"/>
      <c r="K32" s="232"/>
      <c r="L32" s="228"/>
      <c r="M32" s="228"/>
      <c r="N32" s="277"/>
      <c r="O32" s="277"/>
      <c r="P32" s="277"/>
      <c r="Q32" s="277"/>
      <c r="R32" s="300"/>
      <c r="S32" s="277"/>
      <c r="T32" s="275"/>
      <c r="U32" s="232"/>
      <c r="V32" s="281"/>
      <c r="W32" s="228"/>
      <c r="X32" s="282"/>
      <c r="Y32" s="228"/>
      <c r="Z32" s="275"/>
      <c r="AA32" s="283"/>
      <c r="AB32" s="228"/>
      <c r="AC32" s="291"/>
      <c r="AE32" s="222">
        <v>1</v>
      </c>
      <c r="AF32" s="222">
        <v>1</v>
      </c>
      <c r="AG32" s="222">
        <v>1</v>
      </c>
      <c r="AH32" s="222">
        <v>1</v>
      </c>
      <c r="AI32" s="222">
        <v>1</v>
      </c>
      <c r="AJ32" s="222">
        <v>1</v>
      </c>
      <c r="AK32" s="222">
        <v>1</v>
      </c>
      <c r="AL32" s="55">
        <f t="shared" ref="AL32" si="5">AE32+AF32+AG32+AH32-AI32-AJ32+AK32</f>
        <v>3</v>
      </c>
    </row>
    <row r="33" spans="1:38" x14ac:dyDescent="0.25">
      <c r="A33" s="241" t="s">
        <v>214</v>
      </c>
      <c r="B33" s="242" t="s">
        <v>215</v>
      </c>
      <c r="C33" s="243"/>
      <c r="D33" s="244"/>
      <c r="E33" s="245"/>
      <c r="F33" s="246"/>
      <c r="G33" s="247"/>
      <c r="H33" s="248"/>
      <c r="I33" s="286"/>
      <c r="J33" s="250"/>
      <c r="K33" s="232"/>
      <c r="L33" s="246"/>
      <c r="M33" s="246"/>
      <c r="N33" s="264"/>
      <c r="O33" s="264"/>
      <c r="P33" s="264"/>
      <c r="Q33" s="264"/>
      <c r="R33" s="265"/>
      <c r="S33" s="264"/>
      <c r="T33" s="245"/>
      <c r="U33" s="247"/>
      <c r="V33" s="253"/>
      <c r="W33" s="246"/>
      <c r="X33" s="255"/>
      <c r="Y33" s="246"/>
      <c r="Z33" s="245"/>
      <c r="AA33" s="256"/>
      <c r="AB33" s="246"/>
      <c r="AC33" s="257"/>
      <c r="AE33" s="222"/>
      <c r="AF33" s="222"/>
      <c r="AG33" s="222"/>
      <c r="AH33" s="222"/>
      <c r="AI33" s="222"/>
      <c r="AJ33" s="222"/>
      <c r="AK33" s="222"/>
      <c r="AL33" s="55"/>
    </row>
    <row r="34" spans="1:38" x14ac:dyDescent="0.25">
      <c r="A34" s="272" t="s">
        <v>216</v>
      </c>
      <c r="B34" s="222" t="s">
        <v>217</v>
      </c>
      <c r="C34" s="273"/>
      <c r="D34" s="274"/>
      <c r="E34" s="301"/>
      <c r="F34" s="228"/>
      <c r="G34" s="232"/>
      <c r="H34" s="230"/>
      <c r="I34" s="276"/>
      <c r="J34" s="231"/>
      <c r="K34" s="232"/>
      <c r="L34" s="228"/>
      <c r="M34" s="277"/>
      <c r="N34" s="277"/>
      <c r="O34" s="277"/>
      <c r="P34" s="277"/>
      <c r="Q34" s="228"/>
      <c r="R34" s="300"/>
      <c r="S34" s="277"/>
      <c r="T34" s="275"/>
      <c r="U34" s="232"/>
      <c r="V34" s="281"/>
      <c r="W34" s="228"/>
      <c r="X34" s="282"/>
      <c r="Y34" s="228"/>
      <c r="Z34" s="275"/>
      <c r="AA34" s="283"/>
      <c r="AB34" s="228"/>
      <c r="AC34" s="291"/>
      <c r="AE34" s="222">
        <v>1</v>
      </c>
      <c r="AF34" s="222">
        <v>1</v>
      </c>
      <c r="AG34" s="222">
        <v>1</v>
      </c>
      <c r="AH34" s="222">
        <v>1</v>
      </c>
      <c r="AI34" s="222">
        <v>1</v>
      </c>
      <c r="AJ34" s="222">
        <v>1</v>
      </c>
      <c r="AK34" s="222">
        <v>1</v>
      </c>
      <c r="AL34" s="55">
        <f t="shared" ref="AL34" si="6">AE34+AF34+AG34+AH34-AI34-AJ34+AK34</f>
        <v>3</v>
      </c>
    </row>
    <row r="35" spans="1:38" ht="15.75" thickBot="1" x14ac:dyDescent="0.3">
      <c r="A35" s="241" t="s">
        <v>218</v>
      </c>
      <c r="B35" s="263" t="s">
        <v>219</v>
      </c>
      <c r="C35" s="243"/>
      <c r="D35" s="244" t="s">
        <v>174</v>
      </c>
      <c r="E35" s="297"/>
      <c r="F35" s="302"/>
      <c r="G35" s="247"/>
      <c r="H35" s="248"/>
      <c r="I35" s="286"/>
      <c r="J35" s="250"/>
      <c r="K35" s="232"/>
      <c r="L35" s="246"/>
      <c r="M35" s="264"/>
      <c r="N35" s="264"/>
      <c r="O35" s="264"/>
      <c r="P35" s="264"/>
      <c r="Q35" s="246"/>
      <c r="R35" s="265"/>
      <c r="S35" s="264"/>
      <c r="T35" s="245"/>
      <c r="U35" s="247"/>
      <c r="V35" s="253"/>
      <c r="W35" s="246"/>
      <c r="X35" s="255"/>
      <c r="Y35" s="246"/>
      <c r="Z35" s="245"/>
      <c r="AA35" s="256"/>
      <c r="AB35" s="246"/>
      <c r="AC35" s="257"/>
      <c r="AE35" s="222"/>
      <c r="AF35" s="222"/>
      <c r="AG35" s="222"/>
      <c r="AH35" s="222"/>
      <c r="AI35" s="222"/>
      <c r="AJ35" s="222"/>
      <c r="AK35" s="222"/>
      <c r="AL35" s="55"/>
    </row>
    <row r="36" spans="1:38" x14ac:dyDescent="0.25">
      <c r="AE36" s="222"/>
      <c r="AF36" s="222"/>
      <c r="AG36" s="222"/>
      <c r="AH36" s="222"/>
      <c r="AI36" s="222"/>
      <c r="AJ36" s="222"/>
      <c r="AK36" s="222"/>
      <c r="AL36" s="55"/>
    </row>
    <row r="37" spans="1:38" x14ac:dyDescent="0.25">
      <c r="AE37" s="222"/>
      <c r="AF37" s="222"/>
      <c r="AG37" s="222"/>
      <c r="AH37" s="222"/>
      <c r="AI37" s="222"/>
      <c r="AJ37" s="222"/>
      <c r="AK37" s="222"/>
      <c r="AL37" s="55"/>
    </row>
    <row r="38" spans="1:38" x14ac:dyDescent="0.25">
      <c r="AE38" s="222"/>
      <c r="AF38" s="222"/>
      <c r="AG38" s="222"/>
      <c r="AH38" s="222"/>
      <c r="AI38" s="222"/>
      <c r="AJ38" s="222"/>
      <c r="AK38" s="222"/>
      <c r="AL38" s="55"/>
    </row>
    <row r="39" spans="1:38" x14ac:dyDescent="0.25">
      <c r="AE39" s="222"/>
      <c r="AF39" s="222"/>
      <c r="AG39" s="222"/>
      <c r="AH39" s="222"/>
      <c r="AI39" s="222"/>
      <c r="AJ39" s="222"/>
      <c r="AK39" s="222"/>
      <c r="AL39" s="55"/>
    </row>
    <row r="40" spans="1:38" x14ac:dyDescent="0.25">
      <c r="AE40" s="222">
        <v>0</v>
      </c>
      <c r="AF40" s="222">
        <v>0</v>
      </c>
      <c r="AG40" s="222">
        <v>0</v>
      </c>
      <c r="AH40" s="222">
        <v>0</v>
      </c>
      <c r="AI40" s="222">
        <v>1</v>
      </c>
      <c r="AJ40" s="222">
        <v>1</v>
      </c>
      <c r="AK40" s="222">
        <v>0</v>
      </c>
      <c r="AL40" s="55">
        <f t="shared" ref="AL40:AL43" si="7">AE40+AF40+AG40+AH40-AI40-AJ40+AK40</f>
        <v>-2</v>
      </c>
    </row>
    <row r="41" spans="1:38" x14ac:dyDescent="0.25">
      <c r="AE41" s="222">
        <v>0</v>
      </c>
      <c r="AF41" s="222">
        <v>0</v>
      </c>
      <c r="AG41" s="222">
        <v>0</v>
      </c>
      <c r="AH41" s="222">
        <v>0</v>
      </c>
      <c r="AI41" s="222">
        <v>1</v>
      </c>
      <c r="AJ41" s="222">
        <v>1</v>
      </c>
      <c r="AK41" s="222">
        <v>0</v>
      </c>
      <c r="AL41" s="55">
        <f t="shared" si="7"/>
        <v>-2</v>
      </c>
    </row>
    <row r="42" spans="1:38" x14ac:dyDescent="0.25">
      <c r="AE42" s="222">
        <v>0</v>
      </c>
      <c r="AF42" s="222">
        <v>0</v>
      </c>
      <c r="AG42" s="222">
        <v>0</v>
      </c>
      <c r="AH42" s="222">
        <v>0</v>
      </c>
      <c r="AI42" s="222">
        <v>1</v>
      </c>
      <c r="AJ42" s="222">
        <v>1</v>
      </c>
      <c r="AK42" s="222">
        <v>0</v>
      </c>
      <c r="AL42" s="55">
        <f t="shared" si="7"/>
        <v>-2</v>
      </c>
    </row>
    <row r="43" spans="1:38" x14ac:dyDescent="0.25">
      <c r="AE43" s="222">
        <v>0</v>
      </c>
      <c r="AF43" s="222">
        <v>0</v>
      </c>
      <c r="AG43" s="222">
        <v>0</v>
      </c>
      <c r="AH43" s="222">
        <v>0</v>
      </c>
      <c r="AI43" s="222">
        <v>1</v>
      </c>
      <c r="AJ43" s="222">
        <v>1</v>
      </c>
      <c r="AK43" s="222">
        <v>0</v>
      </c>
      <c r="AL43" s="55">
        <f t="shared" si="7"/>
        <v>-2</v>
      </c>
    </row>
  </sheetData>
  <mergeCells count="10">
    <mergeCell ref="Y1:AC1"/>
    <mergeCell ref="AE1:AK1"/>
    <mergeCell ref="I2:K2"/>
    <mergeCell ref="T2:U2"/>
    <mergeCell ref="Z2:AA2"/>
    <mergeCell ref="A30:B30"/>
    <mergeCell ref="A1:A3"/>
    <mergeCell ref="B1:B3"/>
    <mergeCell ref="E1:G1"/>
    <mergeCell ref="I1:U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Intervalos</vt:lpstr>
      <vt:lpstr>Calclulo B (ejemplo LH1)</vt:lpstr>
      <vt:lpstr>Claculo SE Total Economic Value</vt:lpstr>
      <vt:lpstr>Índice calidad estética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Luis Sánchez Navarro</dc:creator>
  <cp:lastModifiedBy>GARRE PÉREZ, ALBERTO</cp:lastModifiedBy>
  <dcterms:created xsi:type="dcterms:W3CDTF">2026-05-29T07:09:34Z</dcterms:created>
  <dcterms:modified xsi:type="dcterms:W3CDTF">2026-07-20T16:42:04Z</dcterms:modified>
</cp:coreProperties>
</file>